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slicers/slicer1.xml" ContentType="application/vnd.ms-excel.slicer+xml"/>
  <Override PartName="/xl/drawings/drawing1.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25"/>
  <workbookPr hidePivotFieldList="1" defaultThemeVersion="166925"/>
  <mc:AlternateContent xmlns:mc="http://schemas.openxmlformats.org/markup-compatibility/2006">
    <mc:Choice Requires="x15">
      <x15ac:absPath xmlns:x15ac="http://schemas.microsoft.com/office/spreadsheetml/2010/11/ac" url="/Users/vkt/Documents/"/>
    </mc:Choice>
  </mc:AlternateContent>
  <xr:revisionPtr revIDLastSave="0" documentId="8_{8A2010CA-98BB-3944-B5F2-8D73266142C1}" xr6:coauthVersionLast="47" xr6:coauthVersionMax="47" xr10:uidLastSave="{00000000-0000-0000-0000-000000000000}"/>
  <bookViews>
    <workbookView xWindow="0" yWindow="780" windowWidth="34200" windowHeight="21460" activeTab="2" xr2:uid="{D725A07E-FB2C-6E4E-9A2F-C9ABBC8B3838}"/>
  </bookViews>
  <sheets>
    <sheet name="Sales_Data" sheetId="1" r:id="rId1"/>
    <sheet name="Pivot Analysis" sheetId="7" r:id="rId2"/>
    <sheet name="Dashboard" sheetId="8" r:id="rId3"/>
  </sheets>
  <definedNames>
    <definedName name="Slicer_Months__Date">#N/A</definedName>
    <definedName name="Slicer_Region">#N/A</definedName>
  </definedNames>
  <calcPr calcId="181029"/>
  <pivotCaches>
    <pivotCache cacheId="215"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10" i="8" l="1"/>
  <c r="B2"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C14"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 i="1"/>
  <c r="C3" i="1"/>
  <c r="C4" i="1"/>
  <c r="C5" i="1"/>
  <c r="C6" i="1"/>
  <c r="C7" i="1"/>
  <c r="C8" i="1"/>
  <c r="C9" i="1"/>
  <c r="C10" i="1"/>
  <c r="C11" i="1"/>
  <c r="C12" i="1"/>
  <c r="C13"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 i="1"/>
  <c r="A3" i="1"/>
  <c r="A4" i="1"/>
  <c r="A5" i="1"/>
  <c r="A6" i="1"/>
  <c r="A7" i="1"/>
  <c r="A8" i="1"/>
  <c r="A9" i="1"/>
  <c r="A10" i="1"/>
  <c r="A11" i="1"/>
  <c r="A12" i="1"/>
  <c r="A13" i="1"/>
  <c r="A14" i="1"/>
  <c r="A15" i="1"/>
  <c r="A16" i="1"/>
  <c r="A17" i="1"/>
  <c r="A18" i="1"/>
  <c r="A19" i="1"/>
  <c r="A20" i="1"/>
  <c r="A21" i="1"/>
  <c r="A22" i="1"/>
  <c r="A23" i="1"/>
  <c r="A24" i="1"/>
  <c r="A25" i="1"/>
  <c r="A26" i="1"/>
  <c r="A27" i="1"/>
  <c r="A28" i="1"/>
  <c r="A29" i="1"/>
  <c r="A30" i="1"/>
  <c r="A31" i="1"/>
  <c r="A32" i="1"/>
  <c r="A33" i="1"/>
  <c r="A34" i="1"/>
  <c r="A35" i="1"/>
  <c r="A36" i="1"/>
  <c r="A37" i="1"/>
  <c r="A38" i="1"/>
  <c r="A39" i="1"/>
  <c r="A40" i="1"/>
  <c r="A41" i="1"/>
  <c r="A42" i="1"/>
  <c r="A43" i="1"/>
  <c r="A44" i="1"/>
  <c r="A45" i="1"/>
  <c r="A46" i="1"/>
  <c r="A47" i="1"/>
  <c r="A48" i="1"/>
  <c r="A49" i="1"/>
  <c r="A50" i="1"/>
  <c r="A51" i="1"/>
  <c r="A52" i="1"/>
  <c r="A53" i="1"/>
  <c r="A54" i="1"/>
  <c r="A55" i="1"/>
  <c r="A56" i="1"/>
  <c r="A57" i="1"/>
  <c r="A58" i="1"/>
  <c r="A59" i="1"/>
  <c r="A60" i="1"/>
  <c r="A61" i="1"/>
  <c r="A62" i="1"/>
  <c r="A63" i="1"/>
  <c r="A64" i="1"/>
  <c r="A65" i="1"/>
  <c r="A66" i="1"/>
  <c r="A67" i="1"/>
  <c r="A68" i="1"/>
  <c r="A69" i="1"/>
  <c r="A70" i="1"/>
  <c r="A71" i="1"/>
  <c r="A72" i="1"/>
  <c r="A73" i="1"/>
  <c r="A74" i="1"/>
  <c r="A75" i="1"/>
  <c r="A76" i="1"/>
  <c r="A77" i="1"/>
  <c r="A78" i="1"/>
  <c r="A79" i="1"/>
  <c r="A80" i="1"/>
  <c r="A81" i="1"/>
  <c r="A82" i="1"/>
  <c r="A83" i="1"/>
  <c r="A84" i="1"/>
  <c r="A85" i="1"/>
  <c r="A86" i="1"/>
  <c r="A87" i="1"/>
  <c r="A88" i="1"/>
  <c r="A89" i="1"/>
  <c r="A90" i="1"/>
  <c r="A91" i="1"/>
  <c r="A92" i="1"/>
  <c r="A93" i="1"/>
  <c r="A94" i="1"/>
  <c r="A95" i="1"/>
  <c r="A96" i="1"/>
  <c r="A97" i="1"/>
  <c r="A98" i="1"/>
  <c r="A99" i="1"/>
  <c r="A100" i="1"/>
  <c r="A101" i="1"/>
  <c r="A102" i="1"/>
  <c r="A103" i="1"/>
  <c r="A104" i="1"/>
  <c r="A105" i="1"/>
  <c r="A106" i="1"/>
  <c r="A107" i="1"/>
  <c r="A108" i="1"/>
  <c r="A109" i="1"/>
  <c r="A110" i="1"/>
  <c r="A111" i="1"/>
  <c r="A112" i="1"/>
  <c r="A113" i="1"/>
  <c r="A114" i="1"/>
  <c r="A115" i="1"/>
  <c r="A116" i="1"/>
  <c r="A117" i="1"/>
  <c r="A118" i="1"/>
  <c r="A119" i="1"/>
  <c r="A120" i="1"/>
  <c r="A121" i="1"/>
  <c r="A122" i="1"/>
  <c r="A123" i="1"/>
  <c r="A124" i="1"/>
  <c r="A125" i="1"/>
  <c r="A126" i="1"/>
  <c r="A127" i="1"/>
  <c r="A128" i="1"/>
  <c r="A129" i="1"/>
  <c r="A130" i="1"/>
  <c r="A131" i="1"/>
  <c r="A132" i="1"/>
  <c r="A133" i="1"/>
  <c r="A134" i="1"/>
  <c r="A135" i="1"/>
  <c r="A136" i="1"/>
  <c r="A137" i="1"/>
  <c r="A138" i="1"/>
  <c r="A139" i="1"/>
  <c r="A140" i="1"/>
  <c r="A141" i="1"/>
  <c r="A142" i="1"/>
  <c r="A143" i="1"/>
  <c r="A144" i="1"/>
  <c r="A145" i="1"/>
  <c r="A146" i="1"/>
  <c r="A147" i="1"/>
  <c r="A148" i="1"/>
  <c r="A149" i="1"/>
  <c r="A150" i="1"/>
  <c r="A151" i="1"/>
  <c r="A152" i="1"/>
  <c r="A153" i="1"/>
  <c r="A154" i="1"/>
  <c r="A155" i="1"/>
  <c r="A156" i="1"/>
  <c r="A157" i="1"/>
  <c r="A158" i="1"/>
  <c r="A159" i="1"/>
  <c r="A160" i="1"/>
  <c r="A161" i="1"/>
  <c r="A162" i="1"/>
  <c r="A163" i="1"/>
  <c r="A164" i="1"/>
  <c r="A165" i="1"/>
  <c r="A166" i="1"/>
  <c r="A167" i="1"/>
  <c r="A168" i="1"/>
  <c r="A169" i="1"/>
  <c r="A170" i="1"/>
  <c r="A171" i="1"/>
  <c r="A172" i="1"/>
  <c r="A173" i="1"/>
  <c r="A174" i="1"/>
  <c r="A175" i="1"/>
  <c r="A176" i="1"/>
  <c r="A177" i="1"/>
  <c r="A178" i="1"/>
  <c r="A179" i="1"/>
  <c r="A180" i="1"/>
  <c r="A181" i="1"/>
  <c r="A182" i="1"/>
  <c r="A183" i="1"/>
  <c r="A184" i="1"/>
  <c r="A185" i="1"/>
  <c r="A186" i="1"/>
  <c r="A187" i="1"/>
  <c r="A188" i="1"/>
  <c r="A189" i="1"/>
  <c r="A190" i="1"/>
  <c r="A191" i="1"/>
  <c r="A192" i="1"/>
  <c r="A193" i="1"/>
  <c r="A194" i="1"/>
  <c r="A195" i="1"/>
  <c r="A196" i="1"/>
  <c r="A197" i="1"/>
  <c r="A198" i="1"/>
  <c r="A199" i="1"/>
  <c r="A200" i="1"/>
  <c r="A2" i="1"/>
  <c r="I10" i="8"/>
  <c r="O10" i="8" l="1"/>
  <c r="H12" i="1"/>
  <c r="H158" i="1"/>
  <c r="H98" i="1"/>
  <c r="H178" i="1"/>
  <c r="H169" i="1"/>
  <c r="H188" i="1"/>
  <c r="H138" i="1"/>
  <c r="H108" i="1"/>
  <c r="H56" i="1"/>
  <c r="H198" i="1"/>
  <c r="H148" i="1"/>
  <c r="H128" i="1"/>
  <c r="H88" i="1"/>
  <c r="H66" i="1"/>
  <c r="H168" i="1"/>
  <c r="H118" i="1"/>
  <c r="H78" i="1"/>
  <c r="H68" i="1"/>
  <c r="H58" i="1"/>
  <c r="H48" i="1"/>
  <c r="H38" i="1"/>
  <c r="H28" i="1"/>
  <c r="H18" i="1"/>
  <c r="H8" i="1"/>
  <c r="H46" i="1"/>
  <c r="H157" i="1"/>
  <c r="H117" i="1"/>
  <c r="H57" i="1"/>
  <c r="H196" i="1"/>
  <c r="H116" i="1"/>
  <c r="H96" i="1"/>
  <c r="H6" i="1"/>
  <c r="H165" i="1"/>
  <c r="H105" i="1"/>
  <c r="H35" i="1"/>
  <c r="H194" i="1"/>
  <c r="H184" i="1"/>
  <c r="H174" i="1"/>
  <c r="H164" i="1"/>
  <c r="H154" i="1"/>
  <c r="H144" i="1"/>
  <c r="H134" i="1"/>
  <c r="H124" i="1"/>
  <c r="H114" i="1"/>
  <c r="H104" i="1"/>
  <c r="H94" i="1"/>
  <c r="H84" i="1"/>
  <c r="H74" i="1"/>
  <c r="H64" i="1"/>
  <c r="H54" i="1"/>
  <c r="H44" i="1"/>
  <c r="H34" i="1"/>
  <c r="H24" i="1"/>
  <c r="H14" i="1"/>
  <c r="H4" i="1"/>
  <c r="H147" i="1"/>
  <c r="H17" i="1"/>
  <c r="H126" i="1"/>
  <c r="H26" i="1"/>
  <c r="H155" i="1"/>
  <c r="H25" i="1"/>
  <c r="H177" i="1"/>
  <c r="H107" i="1"/>
  <c r="H87" i="1"/>
  <c r="H37" i="1"/>
  <c r="H166" i="1"/>
  <c r="H86" i="1"/>
  <c r="H195" i="1"/>
  <c r="H115" i="1"/>
  <c r="H75" i="1"/>
  <c r="H45" i="1"/>
  <c r="H187" i="1"/>
  <c r="H97" i="1"/>
  <c r="H27" i="1"/>
  <c r="H136" i="1"/>
  <c r="H106" i="1"/>
  <c r="H76" i="1"/>
  <c r="H185" i="1"/>
  <c r="H125" i="1"/>
  <c r="H65" i="1"/>
  <c r="H5" i="1"/>
  <c r="H167" i="1"/>
  <c r="H137" i="1"/>
  <c r="H67" i="1"/>
  <c r="H186" i="1"/>
  <c r="H156" i="1"/>
  <c r="H16" i="1"/>
  <c r="H145" i="1"/>
  <c r="H55" i="1"/>
  <c r="H197" i="1"/>
  <c r="H127" i="1"/>
  <c r="H77" i="1"/>
  <c r="H47" i="1"/>
  <c r="H176" i="1"/>
  <c r="H146" i="1"/>
  <c r="H36" i="1"/>
  <c r="H175" i="1"/>
  <c r="H135" i="1"/>
  <c r="H95" i="1"/>
  <c r="H85" i="1"/>
  <c r="H15" i="1"/>
  <c r="H153" i="1"/>
  <c r="H103" i="1"/>
  <c r="H43" i="1"/>
  <c r="H152" i="1"/>
  <c r="H102" i="1"/>
  <c r="H52" i="1"/>
  <c r="H151" i="1"/>
  <c r="H91" i="1"/>
  <c r="H31" i="1"/>
  <c r="H190" i="1"/>
  <c r="H120" i="1"/>
  <c r="H80" i="1"/>
  <c r="H30" i="1"/>
  <c r="H199" i="1"/>
  <c r="H189" i="1"/>
  <c r="H179" i="1"/>
  <c r="H159" i="1"/>
  <c r="H149" i="1"/>
  <c r="H139" i="1"/>
  <c r="H129" i="1"/>
  <c r="H119" i="1"/>
  <c r="H109" i="1"/>
  <c r="H99" i="1"/>
  <c r="H89" i="1"/>
  <c r="H79" i="1"/>
  <c r="H69" i="1"/>
  <c r="H59" i="1"/>
  <c r="H49" i="1"/>
  <c r="H39" i="1"/>
  <c r="H29" i="1"/>
  <c r="H19" i="1"/>
  <c r="H9" i="1"/>
  <c r="H183" i="1"/>
  <c r="H123" i="1"/>
  <c r="H63" i="1"/>
  <c r="H33" i="1"/>
  <c r="H182" i="1"/>
  <c r="H132" i="1"/>
  <c r="H82" i="1"/>
  <c r="H32" i="1"/>
  <c r="H161" i="1"/>
  <c r="H111" i="1"/>
  <c r="H61" i="1"/>
  <c r="H21" i="1"/>
  <c r="H180" i="1"/>
  <c r="H130" i="1"/>
  <c r="H70" i="1"/>
  <c r="H20" i="1"/>
  <c r="H193" i="1"/>
  <c r="H163" i="1"/>
  <c r="H133" i="1"/>
  <c r="H93" i="1"/>
  <c r="H53" i="1"/>
  <c r="H3" i="1"/>
  <c r="H162" i="1"/>
  <c r="H142" i="1"/>
  <c r="H92" i="1"/>
  <c r="H62" i="1"/>
  <c r="H22" i="1"/>
  <c r="H181" i="1"/>
  <c r="H131" i="1"/>
  <c r="H101" i="1"/>
  <c r="H51" i="1"/>
  <c r="H170" i="1"/>
  <c r="H140" i="1"/>
  <c r="H90" i="1"/>
  <c r="H40" i="1"/>
  <c r="H7" i="1"/>
  <c r="H173" i="1"/>
  <c r="H113" i="1"/>
  <c r="H73" i="1"/>
  <c r="H13" i="1"/>
  <c r="H192" i="1"/>
  <c r="H172" i="1"/>
  <c r="H112" i="1"/>
  <c r="H72" i="1"/>
  <c r="H42" i="1"/>
  <c r="H191" i="1"/>
  <c r="H141" i="1"/>
  <c r="H81" i="1"/>
  <c r="H41" i="1"/>
  <c r="H200" i="1"/>
  <c r="H150" i="1"/>
  <c r="H100" i="1"/>
  <c r="H60" i="1"/>
  <c r="H10" i="1"/>
  <c r="H143" i="1"/>
  <c r="H83" i="1"/>
  <c r="H23" i="1"/>
  <c r="H122" i="1"/>
  <c r="H171" i="1"/>
  <c r="H121" i="1"/>
  <c r="H71" i="1"/>
  <c r="H11" i="1"/>
  <c r="H160" i="1"/>
  <c r="H110" i="1"/>
  <c r="H50" i="1"/>
  <c r="H2" i="1"/>
</calcChain>
</file>

<file path=xl/sharedStrings.xml><?xml version="1.0" encoding="utf-8"?>
<sst xmlns="http://schemas.openxmlformats.org/spreadsheetml/2006/main" count="43" uniqueCount="35">
  <si>
    <t>Order id</t>
  </si>
  <si>
    <r>
      <rPr>
        <b/>
        <sz val="15"/>
        <color theme="1"/>
        <rFont val="Aptos Narrow (Body)"/>
      </rPr>
      <t>Date</t>
    </r>
    <r>
      <rPr>
        <sz val="12"/>
        <color theme="1"/>
        <rFont val="Calibri"/>
        <family val="2"/>
        <scheme val="minor"/>
      </rPr>
      <t xml:space="preserve"> </t>
    </r>
  </si>
  <si>
    <t>Region</t>
  </si>
  <si>
    <t>Salesperson</t>
  </si>
  <si>
    <t>Quantity</t>
  </si>
  <si>
    <t>Product</t>
  </si>
  <si>
    <t>Unit Price</t>
  </si>
  <si>
    <t>Revenue</t>
  </si>
  <si>
    <t>West</t>
  </si>
  <si>
    <t>Arun</t>
  </si>
  <si>
    <t>Keyboard</t>
  </si>
  <si>
    <t>Kiran</t>
  </si>
  <si>
    <t>Printer</t>
  </si>
  <si>
    <t>Mouse</t>
  </si>
  <si>
    <t>South</t>
  </si>
  <si>
    <t>Rahul</t>
  </si>
  <si>
    <t>Laptop</t>
  </si>
  <si>
    <t>North</t>
  </si>
  <si>
    <t>Priya</t>
  </si>
  <si>
    <t>Monitor</t>
  </si>
  <si>
    <t>East</t>
  </si>
  <si>
    <t>Meena</t>
  </si>
  <si>
    <t>Grand Total</t>
  </si>
  <si>
    <t>Sum of Revenue</t>
  </si>
  <si>
    <t>A</t>
  </si>
  <si>
    <t>Column1</t>
  </si>
  <si>
    <t>Jan</t>
  </si>
  <si>
    <t>Feb</t>
  </si>
  <si>
    <t>Mar</t>
  </si>
  <si>
    <t>Month</t>
  </si>
  <si>
    <t>Sales Performance Dashboard – 2025</t>
  </si>
  <si>
    <t>Total Revenue</t>
  </si>
  <si>
    <t>Total Orders</t>
  </si>
  <si>
    <t>Average Order Value</t>
  </si>
  <si>
    <t>Sales preson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</si>
</sst>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9" formatCode="&quot;₹&quot;#,##0.00"/>
  </numFmts>
  <fonts count="11" x14ac:knownFonts="1">
    <font>
      <sz val="12"/>
      <color theme="1"/>
      <name val="Calibri"/>
      <family val="2"/>
      <scheme val="minor"/>
    </font>
    <font>
      <b/>
      <sz val="15"/>
      <color theme="1"/>
      <name val="Calibri"/>
      <scheme val="minor"/>
    </font>
    <font>
      <b/>
      <sz val="15"/>
      <color theme="1"/>
      <name val="Aptos Narrow (Body)"/>
    </font>
    <font>
      <b/>
      <sz val="18"/>
      <color theme="1"/>
      <name val="Aptos Narrow (Body)"/>
    </font>
    <font>
      <b/>
      <sz val="14"/>
      <color theme="1"/>
      <name val="Calibri"/>
      <scheme val="minor"/>
    </font>
    <font>
      <b/>
      <sz val="18"/>
      <color theme="1"/>
      <name val="Calibri"/>
      <scheme val="minor"/>
    </font>
    <font>
      <b/>
      <sz val="20"/>
      <color theme="1"/>
      <name val="Calibri"/>
      <scheme val="minor"/>
    </font>
    <font>
      <b/>
      <sz val="30"/>
      <color theme="1"/>
      <name val="Calibri"/>
      <scheme val="minor"/>
    </font>
    <font>
      <b/>
      <sz val="22"/>
      <color theme="1"/>
      <name val="Calibri"/>
      <family val="2"/>
      <scheme val="minor"/>
    </font>
    <font>
      <b/>
      <sz val="22"/>
      <color theme="1"/>
      <name val="Calibri"/>
      <scheme val="minor"/>
    </font>
    <font>
      <sz val="30"/>
      <color theme="1"/>
      <name val="Calibri"/>
      <family val="2"/>
      <scheme val="minor"/>
    </font>
  </fonts>
  <fills count="3">
    <fill>
      <patternFill patternType="none"/>
    </fill>
    <fill>
      <patternFill patternType="gray125"/>
    </fill>
    <fill>
      <patternFill patternType="solid">
        <fgColor theme="2" tint="-9.9978637043366805E-2"/>
        <bgColor indexed="64"/>
      </patternFill>
    </fill>
  </fills>
  <borders count="1">
    <border>
      <left/>
      <right/>
      <top/>
      <bottom/>
      <diagonal/>
    </border>
  </borders>
  <cellStyleXfs count="1">
    <xf numFmtId="0" fontId="0" fillId="0" borderId="0"/>
  </cellStyleXfs>
  <cellXfs count="21">
    <xf numFmtId="0" fontId="0" fillId="0" borderId="0" xfId="0"/>
    <xf numFmtId="14" fontId="0" fillId="0" borderId="0" xfId="0" applyNumberFormat="1"/>
    <xf numFmtId="0" fontId="1" fillId="0" borderId="0" xfId="0" applyFont="1"/>
    <xf numFmtId="0" fontId="2" fillId="0" borderId="0" xfId="0" applyFont="1"/>
    <xf numFmtId="0" fontId="4" fillId="0" borderId="0" xfId="0" applyFont="1"/>
    <xf numFmtId="0" fontId="3" fillId="0" borderId="0" xfId="0" applyFont="1"/>
    <xf numFmtId="0" fontId="0" fillId="0" borderId="0" xfId="0" applyAlignment="1">
      <alignment horizontal="center"/>
    </xf>
    <xf numFmtId="169" fontId="5" fillId="0" borderId="0" xfId="0" applyNumberFormat="1" applyFont="1"/>
    <xf numFmtId="0" fontId="3" fillId="0" borderId="0" xfId="0" applyFont="1" applyAlignment="1">
      <alignment horizontal="center"/>
    </xf>
    <xf numFmtId="0" fontId="8" fillId="0" borderId="0" xfId="0" applyFont="1"/>
    <xf numFmtId="0" fontId="9" fillId="0" borderId="0" xfId="0" applyFont="1"/>
    <xf numFmtId="169" fontId="9" fillId="0" borderId="0" xfId="0" applyNumberFormat="1" applyFont="1"/>
    <xf numFmtId="0" fontId="7" fillId="2" borderId="0" xfId="0" applyFont="1" applyFill="1" applyAlignment="1">
      <alignment horizontal="center"/>
    </xf>
    <xf numFmtId="0" fontId="0" fillId="2" borderId="0" xfId="0" applyFill="1"/>
    <xf numFmtId="0" fontId="0" fillId="2" borderId="0" xfId="0" applyFill="1" applyAlignment="1">
      <alignment horizontal="center" wrapText="1"/>
    </xf>
    <xf numFmtId="0" fontId="10" fillId="0" borderId="0" xfId="0" pivotButton="1" applyFont="1"/>
    <xf numFmtId="0" fontId="10" fillId="0" borderId="0" xfId="0" applyFont="1"/>
    <xf numFmtId="0" fontId="10" fillId="0" borderId="0" xfId="0" applyFont="1" applyAlignment="1">
      <alignment horizontal="left"/>
    </xf>
    <xf numFmtId="0" fontId="10" fillId="0" borderId="0" xfId="0" applyNumberFormat="1" applyFont="1"/>
    <xf numFmtId="15" fontId="0" fillId="0" borderId="0" xfId="0" applyNumberFormat="1"/>
    <xf numFmtId="1" fontId="6" fillId="0" borderId="0" xfId="0" applyNumberFormat="1" applyFont="1"/>
  </cellXfs>
  <cellStyles count="1">
    <cellStyle name="Normal" xfId="0" builtinId="0"/>
  </cellStyles>
  <dxfs count="26">
    <dxf>
      <font>
        <sz val="30"/>
      </font>
    </dxf>
    <dxf>
      <font>
        <sz val="30"/>
      </font>
    </dxf>
    <dxf>
      <font>
        <sz val="30"/>
      </font>
    </dxf>
    <dxf>
      <font>
        <sz val="30"/>
      </font>
    </dxf>
    <dxf>
      <font>
        <sz val="30"/>
      </font>
    </dxf>
    <dxf>
      <font>
        <sz val="30"/>
      </font>
    </dxf>
    <dxf>
      <font>
        <sz val="30"/>
      </font>
    </dxf>
    <dxf>
      <font>
        <sz val="30"/>
      </font>
    </dxf>
    <dxf>
      <font>
        <sz val="30"/>
      </font>
    </dxf>
    <dxf>
      <font>
        <sz val="30"/>
      </font>
    </dxf>
    <dxf>
      <font>
        <sz val="30"/>
      </font>
    </dxf>
    <dxf>
      <font>
        <sz val="30"/>
      </font>
    </dxf>
    <dxf>
      <font>
        <sz val="30"/>
      </font>
    </dxf>
    <dxf>
      <font>
        <sz val="30"/>
      </font>
    </dxf>
    <dxf>
      <font>
        <sz val="30"/>
      </font>
    </dxf>
    <dxf>
      <font>
        <sz val="30"/>
      </font>
    </dxf>
    <dxf>
      <font>
        <sz val="30"/>
      </font>
    </dxf>
    <dxf>
      <font>
        <sz val="30"/>
      </font>
    </dxf>
    <dxf>
      <font>
        <sz val="30"/>
      </font>
    </dxf>
    <dxf>
      <font>
        <sz val="30"/>
      </font>
    </dxf>
    <dxf>
      <font>
        <sz val="30"/>
      </font>
    </dxf>
    <dxf>
      <font>
        <sz val="30"/>
      </font>
    </dxf>
    <dxf>
      <font>
        <sz val="30"/>
      </font>
    </dxf>
    <dxf>
      <font>
        <sz val="30"/>
      </font>
    </dxf>
    <dxf>
      <numFmt numFmtId="19" formatCode="dd/mm/yy"/>
    </dxf>
    <dxf>
      <font>
        <b/>
        <i val="0"/>
        <strike val="0"/>
        <condense val="0"/>
        <extend val="0"/>
        <outline val="0"/>
        <shadow val="0"/>
        <u val="none"/>
        <vertAlign val="baseline"/>
        <sz val="15"/>
        <color theme="1"/>
        <name val="Aptos Narrow (Body)"/>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[Saledata 2025 .xlsx]Pivot Analysis!PivotTable10</c:name>
    <c:fmtId val="1"/>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IN"/>
              <a:t>Monthly Revenue Trend</a:t>
            </a:r>
            <a:endParaRPr lang="en-US"/>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5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Analysis'!$H$13</c:f>
              <c:strCache>
                <c:ptCount val="1"/>
                <c:pt idx="0">
                  <c:v>Total</c:v>
                </c:pt>
              </c:strCache>
            </c:strRef>
          </c:tx>
          <c:spPr>
            <a:solidFill>
              <a:schemeClr val="accent1"/>
            </a:solidFill>
            <a:ln>
              <a:noFill/>
            </a:ln>
            <a:effectLst/>
          </c:spPr>
          <c:invertIfNegative val="0"/>
          <c:cat>
            <c:strRef>
              <c:f>'Pivot Analysis'!$G$14:$G$17</c:f>
              <c:strCache>
                <c:ptCount val="3"/>
                <c:pt idx="0">
                  <c:v>Jan</c:v>
                </c:pt>
                <c:pt idx="1">
                  <c:v>Feb</c:v>
                </c:pt>
                <c:pt idx="2">
                  <c:v>Mar</c:v>
                </c:pt>
              </c:strCache>
            </c:strRef>
          </c:cat>
          <c:val>
            <c:numRef>
              <c:f>'Pivot Analysis'!$H$14:$H$17</c:f>
              <c:numCache>
                <c:formatCode>General</c:formatCode>
                <c:ptCount val="3"/>
                <c:pt idx="0">
                  <c:v>5734000</c:v>
                </c:pt>
                <c:pt idx="1">
                  <c:v>4659000</c:v>
                </c:pt>
                <c:pt idx="2">
                  <c:v>6737500</c:v>
                </c:pt>
              </c:numCache>
            </c:numRef>
          </c:val>
          <c:extLst>
            <c:ext xmlns:c16="http://schemas.microsoft.com/office/drawing/2014/chart" uri="{C3380CC4-5D6E-409C-BE32-E72D297353CC}">
              <c16:uniqueId val="{00000000-042B-F54C-A65A-A85F53EB10AC}"/>
            </c:ext>
          </c:extLst>
        </c:ser>
        <c:dLbls>
          <c:showLegendKey val="0"/>
          <c:showVal val="0"/>
          <c:showCatName val="0"/>
          <c:showSerName val="0"/>
          <c:showPercent val="0"/>
          <c:showBubbleSize val="0"/>
        </c:dLbls>
        <c:gapWidth val="219"/>
        <c:overlap val="-27"/>
        <c:axId val="666196543"/>
        <c:axId val="666194751"/>
      </c:barChart>
      <c:catAx>
        <c:axId val="6661965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500" b="0" i="0" u="none" strike="noStrike" kern="1200" baseline="0">
                <a:solidFill>
                  <a:schemeClr val="tx1">
                    <a:lumMod val="65000"/>
                    <a:lumOff val="35000"/>
                  </a:schemeClr>
                </a:solidFill>
                <a:latin typeface="+mn-lt"/>
                <a:ea typeface="+mn-ea"/>
                <a:cs typeface="+mn-cs"/>
              </a:defRPr>
            </a:pPr>
            <a:endParaRPr lang="en-US"/>
          </a:p>
        </c:txPr>
        <c:crossAx val="666194751"/>
        <c:crosses val="autoZero"/>
        <c:auto val="1"/>
        <c:lblAlgn val="ctr"/>
        <c:lblOffset val="100"/>
        <c:noMultiLvlLbl val="0"/>
      </c:catAx>
      <c:valAx>
        <c:axId val="6661947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500" b="0" i="0" u="none" strike="noStrike" kern="1200" baseline="0">
                <a:solidFill>
                  <a:schemeClr val="tx1">
                    <a:lumMod val="65000"/>
                    <a:lumOff val="35000"/>
                  </a:schemeClr>
                </a:solidFill>
                <a:latin typeface="+mn-lt"/>
                <a:ea typeface="+mn-ea"/>
                <a:cs typeface="+mn-cs"/>
              </a:defRPr>
            </a:pPr>
            <a:endParaRPr lang="en-US"/>
          </a:p>
        </c:txPr>
        <c:crossAx val="6661965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5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5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[Saledata 2025 .xlsx]Pivot Analysis!PivotTable13</c:name>
    <c:fmtId val="1"/>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IN"/>
              <a:t>Revenue by Region</a:t>
            </a:r>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15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manualLayout>
          <c:layoutTarget val="inner"/>
          <c:xMode val="edge"/>
          <c:yMode val="edge"/>
          <c:x val="0.10840448061091376"/>
          <c:y val="0.11376518735947873"/>
          <c:w val="0.69607180527123891"/>
          <c:h val="0.87170232117454571"/>
        </c:manualLayout>
      </c:layout>
      <c:pieChart>
        <c:varyColors val="1"/>
        <c:ser>
          <c:idx val="0"/>
          <c:order val="0"/>
          <c:tx>
            <c:strRef>
              <c:f>'Pivot Analysis'!$E$13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6F4-A940-8217-1C9D19C4B4A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6F4-A940-8217-1C9D19C4B4A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6F4-A940-8217-1C9D19C4B4A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6F4-A940-8217-1C9D19C4B4AE}"/>
              </c:ext>
            </c:extLst>
          </c:dPt>
          <c:cat>
            <c:strRef>
              <c:f>'Pivot Analysis'!$D$14:$D$18</c:f>
              <c:strCache>
                <c:ptCount val="4"/>
                <c:pt idx="0">
                  <c:v>East</c:v>
                </c:pt>
                <c:pt idx="1">
                  <c:v>North</c:v>
                </c:pt>
                <c:pt idx="2">
                  <c:v>South</c:v>
                </c:pt>
                <c:pt idx="3">
                  <c:v>West</c:v>
                </c:pt>
              </c:strCache>
            </c:strRef>
          </c:cat>
          <c:val>
            <c:numRef>
              <c:f>'Pivot Analysis'!$E$14:$E$18</c:f>
              <c:numCache>
                <c:formatCode>General</c:formatCode>
                <c:ptCount val="4"/>
                <c:pt idx="0">
                  <c:v>3686500</c:v>
                </c:pt>
                <c:pt idx="1">
                  <c:v>6471000</c:v>
                </c:pt>
                <c:pt idx="2">
                  <c:v>2386500</c:v>
                </c:pt>
                <c:pt idx="3">
                  <c:v>4586500</c:v>
                </c:pt>
              </c:numCache>
            </c:numRef>
          </c:val>
          <c:extLst>
            <c:ext xmlns:c16="http://schemas.microsoft.com/office/drawing/2014/chart" uri="{C3380CC4-5D6E-409C-BE32-E72D297353CC}">
              <c16:uniqueId val="{00000008-56F4-A940-8217-1C9D19C4B4A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5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5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[Saledata 2025 .xlsx]Pivot Analysis!PivotTable11</c:name>
    <c:fmtId val="1"/>
  </c:pivotSource>
  <c:chart>
    <c:title>
      <c:tx>
        <c:rich>
          <a:bodyPr rot="0" spcFirstLastPara="1" vertOverflow="ellipsis" vert="horz" wrap="square" anchor="ctr" anchorCtr="1"/>
          <a:lstStyle/>
          <a:p>
            <a:pPr algn="ctr" rtl="0">
              <a:defRPr sz="1800" b="0" i="0" u="none" strike="noStrike" kern="1200" spc="0" baseline="0">
                <a:solidFill>
                  <a:schemeClr val="tx1">
                    <a:lumMod val="65000"/>
                    <a:lumOff val="35000"/>
                  </a:schemeClr>
                </a:solidFill>
                <a:latin typeface="+mn-lt"/>
                <a:ea typeface="+mn-ea"/>
                <a:cs typeface="+mn-cs"/>
              </a:defRPr>
            </a:pPr>
            <a:r>
              <a:rPr lang="en-IN"/>
              <a:t> Product Revenue </a:t>
            </a:r>
          </a:p>
          <a:p>
            <a:pPr algn="ctr" rtl="0">
              <a:defRPr/>
            </a:pPr>
            <a:endParaRPr lang="en-GB"/>
          </a:p>
        </c:rich>
      </c:tx>
      <c:overlay val="0"/>
      <c:spPr>
        <a:noFill/>
        <a:ln>
          <a:noFill/>
        </a:ln>
        <a:effectLst/>
      </c:spPr>
      <c:txPr>
        <a:bodyPr rot="0" spcFirstLastPara="1" vertOverflow="ellipsis" vert="horz" wrap="square" anchor="ctr" anchorCtr="1"/>
        <a:lstStyle/>
        <a:p>
          <a:pPr algn="ctr" rtl="0">
            <a:defRPr sz="18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5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Analysis'!$E$22</c:f>
              <c:strCache>
                <c:ptCount val="1"/>
                <c:pt idx="0">
                  <c:v>Total</c:v>
                </c:pt>
              </c:strCache>
            </c:strRef>
          </c:tx>
          <c:spPr>
            <a:solidFill>
              <a:schemeClr val="accent1"/>
            </a:solidFill>
            <a:ln>
              <a:noFill/>
            </a:ln>
            <a:effectLst/>
          </c:spPr>
          <c:invertIfNegative val="0"/>
          <c:cat>
            <c:strRef>
              <c:f>'Pivot Analysis'!$D$23:$D$28</c:f>
              <c:strCache>
                <c:ptCount val="5"/>
                <c:pt idx="0">
                  <c:v>Keyboard</c:v>
                </c:pt>
                <c:pt idx="1">
                  <c:v>Laptop</c:v>
                </c:pt>
                <c:pt idx="2">
                  <c:v>Monitor</c:v>
                </c:pt>
                <c:pt idx="3">
                  <c:v>Mouse</c:v>
                </c:pt>
                <c:pt idx="4">
                  <c:v>Printer</c:v>
                </c:pt>
              </c:strCache>
            </c:strRef>
          </c:cat>
          <c:val>
            <c:numRef>
              <c:f>'Pivot Analysis'!$E$23:$E$28</c:f>
              <c:numCache>
                <c:formatCode>General</c:formatCode>
                <c:ptCount val="5"/>
                <c:pt idx="0">
                  <c:v>2673500</c:v>
                </c:pt>
                <c:pt idx="1">
                  <c:v>3692500</c:v>
                </c:pt>
                <c:pt idx="2">
                  <c:v>3776500</c:v>
                </c:pt>
                <c:pt idx="3">
                  <c:v>3222000</c:v>
                </c:pt>
                <c:pt idx="4">
                  <c:v>3766000</c:v>
                </c:pt>
              </c:numCache>
            </c:numRef>
          </c:val>
          <c:extLst>
            <c:ext xmlns:c16="http://schemas.microsoft.com/office/drawing/2014/chart" uri="{C3380CC4-5D6E-409C-BE32-E72D297353CC}">
              <c16:uniqueId val="{00000000-55B3-444C-96ED-7F50507DF423}"/>
            </c:ext>
          </c:extLst>
        </c:ser>
        <c:dLbls>
          <c:showLegendKey val="0"/>
          <c:showVal val="0"/>
          <c:showCatName val="0"/>
          <c:showSerName val="0"/>
          <c:showPercent val="0"/>
          <c:showBubbleSize val="0"/>
        </c:dLbls>
        <c:gapWidth val="182"/>
        <c:axId val="635188351"/>
        <c:axId val="635181631"/>
      </c:barChart>
      <c:catAx>
        <c:axId val="6351883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500" b="0" i="0" u="none" strike="noStrike" kern="1200" baseline="0">
                <a:solidFill>
                  <a:schemeClr val="tx1">
                    <a:lumMod val="65000"/>
                    <a:lumOff val="35000"/>
                  </a:schemeClr>
                </a:solidFill>
                <a:latin typeface="+mn-lt"/>
                <a:ea typeface="+mn-ea"/>
                <a:cs typeface="+mn-cs"/>
              </a:defRPr>
            </a:pPr>
            <a:endParaRPr lang="en-US"/>
          </a:p>
        </c:txPr>
        <c:crossAx val="635181631"/>
        <c:crosses val="autoZero"/>
        <c:auto val="1"/>
        <c:lblAlgn val="ctr"/>
        <c:lblOffset val="100"/>
        <c:noMultiLvlLbl val="0"/>
      </c:catAx>
      <c:valAx>
        <c:axId val="63518163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500" b="0" i="0" u="none" strike="noStrike" kern="1200" baseline="0">
                <a:solidFill>
                  <a:schemeClr val="tx1">
                    <a:lumMod val="65000"/>
                    <a:lumOff val="35000"/>
                  </a:schemeClr>
                </a:solidFill>
                <a:latin typeface="+mn-lt"/>
                <a:ea typeface="+mn-ea"/>
                <a:cs typeface="+mn-cs"/>
              </a:defRPr>
            </a:pPr>
            <a:endParaRPr lang="en-US"/>
          </a:p>
        </c:txPr>
        <c:crossAx val="6351883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5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5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324929</xdr:colOff>
      <xdr:row>11</xdr:row>
      <xdr:rowOff>174109</xdr:rowOff>
    </xdr:from>
    <xdr:to>
      <xdr:col>10</xdr:col>
      <xdr:colOff>385536</xdr:colOff>
      <xdr:row>37</xdr:row>
      <xdr:rowOff>97004</xdr:rowOff>
    </xdr:to>
    <xdr:graphicFrame macro="">
      <xdr:nvGraphicFramePr>
        <xdr:cNvPr id="2" name="Chart 1">
          <a:extLst>
            <a:ext uri="{FF2B5EF4-FFF2-40B4-BE49-F238E27FC236}">
              <a16:creationId xmlns:a16="http://schemas.microsoft.com/office/drawing/2014/main" id="{CF800C33-338E-350D-D115-6AEE6B28B5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710331</xdr:colOff>
      <xdr:row>11</xdr:row>
      <xdr:rowOff>196982</xdr:rowOff>
    </xdr:from>
    <xdr:to>
      <xdr:col>18</xdr:col>
      <xdr:colOff>22678</xdr:colOff>
      <xdr:row>37</xdr:row>
      <xdr:rowOff>85810</xdr:rowOff>
    </xdr:to>
    <xdr:graphicFrame macro="">
      <xdr:nvGraphicFramePr>
        <xdr:cNvPr id="3" name="Chart 2">
          <a:extLst>
            <a:ext uri="{FF2B5EF4-FFF2-40B4-BE49-F238E27FC236}">
              <a16:creationId xmlns:a16="http://schemas.microsoft.com/office/drawing/2014/main" id="{B1481D59-597E-9308-5B78-61F77EE8FA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292275</xdr:colOff>
      <xdr:row>40</xdr:row>
      <xdr:rowOff>49705</xdr:rowOff>
    </xdr:from>
    <xdr:to>
      <xdr:col>17</xdr:col>
      <xdr:colOff>136070</xdr:colOff>
      <xdr:row>63</xdr:row>
      <xdr:rowOff>83483</xdr:rowOff>
    </xdr:to>
    <xdr:graphicFrame macro="">
      <xdr:nvGraphicFramePr>
        <xdr:cNvPr id="4" name="Chart 3">
          <a:extLst>
            <a:ext uri="{FF2B5EF4-FFF2-40B4-BE49-F238E27FC236}">
              <a16:creationId xmlns:a16="http://schemas.microsoft.com/office/drawing/2014/main" id="{97265B44-0E68-0D64-CDC9-CECFDAA6CB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19</xdr:col>
      <xdr:colOff>243289</xdr:colOff>
      <xdr:row>12</xdr:row>
      <xdr:rowOff>196794</xdr:rowOff>
    </xdr:from>
    <xdr:to>
      <xdr:col>22</xdr:col>
      <xdr:colOff>815988</xdr:colOff>
      <xdr:row>19</xdr:row>
      <xdr:rowOff>139013</xdr:rowOff>
    </xdr:to>
    <mc:AlternateContent xmlns:mc="http://schemas.openxmlformats.org/markup-compatibility/2006">
      <mc:Choice xmlns:a14="http://schemas.microsoft.com/office/drawing/2010/main" Requires="a14">
        <xdr:graphicFrame macro="">
          <xdr:nvGraphicFramePr>
            <xdr:cNvPr id="6" name="Months ">
              <a:extLst>
                <a:ext uri="{FF2B5EF4-FFF2-40B4-BE49-F238E27FC236}">
                  <a16:creationId xmlns:a16="http://schemas.microsoft.com/office/drawing/2014/main" id="{CF539B7D-5246-E145-A8B2-8CF693BBAE19}"/>
                </a:ext>
              </a:extLst>
            </xdr:cNvPr>
            <xdr:cNvGraphicFramePr>
              <a:graphicFrameLocks noChangeAspect="1"/>
            </xdr:cNvGraphicFramePr>
          </xdr:nvGraphicFramePr>
          <xdr:xfrm>
            <a:off x="0" y="0"/>
            <a:ext cx="0" cy="0"/>
          </xdr:xfrm>
          <a:graphic>
            <a:graphicData uri="http://schemas.microsoft.com/office/drawing/2010/slicer">
              <sle:slicer xmlns:sle="http://schemas.microsoft.com/office/drawing/2010/slicer" name="Months "/>
            </a:graphicData>
          </a:graphic>
        </xdr:graphicFrame>
      </mc:Choice>
      <mc:Fallback>
        <xdr:sp macro="" textlink="">
          <xdr:nvSpPr>
            <xdr:cNvPr id="0" name=""/>
            <xdr:cNvSpPr>
              <a:spLocks noTextEdit="1"/>
            </xdr:cNvSpPr>
          </xdr:nvSpPr>
          <xdr:spPr>
            <a:xfrm>
              <a:off x="18441460" y="3356306"/>
              <a:ext cx="3035260" cy="135160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20</xdr:col>
      <xdr:colOff>135468</xdr:colOff>
      <xdr:row>22</xdr:row>
      <xdr:rowOff>118535</xdr:rowOff>
    </xdr:from>
    <xdr:to>
      <xdr:col>21</xdr:col>
      <xdr:colOff>728134</xdr:colOff>
      <xdr:row>30</xdr:row>
      <xdr:rowOff>50800</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52D796A3-61F2-A743-A620-876F654DECC0}"/>
                </a:ext>
                <a:ext uri="{C183D7F6-B498-43B3-948B-1728B52AA6E4}">
                  <adec:decorative xmlns:adec="http://schemas.microsoft.com/office/drawing/2017/decorative" val="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9154492" y="5291462"/>
              <a:ext cx="1413520" cy="154299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enkatesan G" refreshedDate="46062.879508101854" createdVersion="8" refreshedVersion="8" minRefreshableVersion="3" recordCount="200" xr:uid="{08B9C490-CC84-5742-A7C7-714595B90D8B}">
  <cacheSource type="worksheet">
    <worksheetSource ref="A1:H1048576" sheet="Sales_Data"/>
  </cacheSource>
  <cacheFields count="10">
    <cacheField name="Order id" numFmtId="0">
      <sharedItems containsString="0" containsBlank="1" containsNumber="1" containsInteger="1" minValue="1001" maxValue="1199"/>
    </cacheField>
    <cacheField name="Date " numFmtId="0">
      <sharedItems containsNonDate="0" containsDate="1" containsString="0" containsBlank="1" minDate="2025-01-01T00:00:00" maxDate="2025-03-29T00:00:00" count="85">
        <d v="2025-03-17T00:00:00"/>
        <d v="2025-03-06T00:00:00"/>
        <d v="2025-02-13T00:00:00"/>
        <d v="2025-02-06T00:00:00"/>
        <d v="2025-03-25T00:00:00"/>
        <d v="2025-01-22T00:00:00"/>
        <d v="2025-01-16T00:00:00"/>
        <d v="2025-03-18T00:00:00"/>
        <d v="2025-03-15T00:00:00"/>
        <d v="2025-02-21T00:00:00"/>
        <d v="2025-02-04T00:00:00"/>
        <d v="2025-02-07T00:00:00"/>
        <d v="2025-03-16T00:00:00"/>
        <d v="2025-02-10T00:00:00"/>
        <d v="2025-03-20T00:00:00"/>
        <d v="2025-02-12T00:00:00"/>
        <d v="2025-03-13T00:00:00"/>
        <d v="2025-03-10T00:00:00"/>
        <d v="2025-03-12T00:00:00"/>
        <d v="2025-01-05T00:00:00"/>
        <d v="2025-02-11T00:00:00"/>
        <d v="2025-02-28T00:00:00"/>
        <d v="2025-03-04T00:00:00"/>
        <d v="2025-03-21T00:00:00"/>
        <d v="2025-02-15T00:00:00"/>
        <d v="2025-03-11T00:00:00"/>
        <d v="2025-01-20T00:00:00"/>
        <d v="2025-01-06T00:00:00"/>
        <d v="2025-01-19T00:00:00"/>
        <d v="2025-03-03T00:00:00"/>
        <d v="2025-03-09T00:00:00"/>
        <d v="2025-03-08T00:00:00"/>
        <d v="2025-01-21T00:00:00"/>
        <d v="2025-01-26T00:00:00"/>
        <d v="2025-01-12T00:00:00"/>
        <d v="2025-03-01T00:00:00"/>
        <d v="2025-03-28T00:00:00"/>
        <d v="2025-01-27T00:00:00"/>
        <d v="2025-03-26T00:00:00"/>
        <d v="2025-03-22T00:00:00"/>
        <d v="2025-02-09T00:00:00"/>
        <d v="2025-01-02T00:00:00"/>
        <d v="2025-03-24T00:00:00"/>
        <d v="2025-02-03T00:00:00"/>
        <d v="2025-01-18T00:00:00"/>
        <d v="2025-01-23T00:00:00"/>
        <d v="2025-02-24T00:00:00"/>
        <d v="2025-01-01T00:00:00"/>
        <d v="2025-02-16T00:00:00"/>
        <d v="2025-01-09T00:00:00"/>
        <d v="2025-01-11T00:00:00"/>
        <d v="2025-01-10T00:00:00"/>
        <d v="2025-01-07T00:00:00"/>
        <d v="2025-02-25T00:00:00"/>
        <d v="2025-02-20T00:00:00"/>
        <d v="2025-01-25T00:00:00"/>
        <d v="2025-01-15T00:00:00"/>
        <d v="2025-02-05T00:00:00"/>
        <d v="2025-01-17T00:00:00"/>
        <d v="2025-02-27T00:00:00"/>
        <d v="2025-02-14T00:00:00"/>
        <d v="2025-03-02T00:00:00"/>
        <d v="2025-02-08T00:00:00"/>
        <d v="2025-01-13T00:00:00"/>
        <d v="2025-02-01T00:00:00"/>
        <d v="2025-02-02T00:00:00"/>
        <d v="2025-02-23T00:00:00"/>
        <d v="2025-03-07T00:00:00"/>
        <d v="2025-02-18T00:00:00"/>
        <d v="2025-03-14T00:00:00"/>
        <d v="2025-03-05T00:00:00"/>
        <d v="2025-03-27T00:00:00"/>
        <d v="2025-03-23T00:00:00"/>
        <d v="2025-02-22T00:00:00"/>
        <d v="2025-01-28T00:00:00"/>
        <d v="2025-02-19T00:00:00"/>
        <d v="2025-01-04T00:00:00"/>
        <d v="2025-01-14T00:00:00"/>
        <m/>
        <d v="2025-02-26T00:00:00" u="1"/>
        <d v="2025-01-08T00:00:00" u="1"/>
        <d v="2025-01-24T00:00:00" u="1"/>
        <d v="2025-02-17T00:00:00" u="1"/>
        <d v="2025-03-19T00:00:00" u="1"/>
        <d v="2025-01-03T00:00:00" u="1"/>
      </sharedItems>
      <fieldGroup par="9"/>
    </cacheField>
    <cacheField name="Region" numFmtId="0">
      <sharedItems containsBlank="1" count="5">
        <s v="West"/>
        <s v="East"/>
        <s v="South"/>
        <s v="North"/>
        <m/>
      </sharedItems>
    </cacheField>
    <cacheField name="Salesperson" numFmtId="0">
      <sharedItems containsBlank="1" count="6">
        <s v="Rahul"/>
        <s v="Arun"/>
        <s v="Meena"/>
        <s v="Kiran"/>
        <s v="Priya"/>
        <m/>
      </sharedItems>
    </cacheField>
    <cacheField name="Product" numFmtId="0">
      <sharedItems containsBlank="1" count="6">
        <s v="Printer"/>
        <s v="Mouse"/>
        <s v="Keyboard"/>
        <s v="Monitor"/>
        <s v="Laptop"/>
        <m/>
      </sharedItems>
    </cacheField>
    <cacheField name="Quantity" numFmtId="0">
      <sharedItems containsString="0" containsBlank="1" containsNumber="1" containsInteger="1" minValue="1" maxValue="10"/>
    </cacheField>
    <cacheField name="Unit Price" numFmtId="0">
      <sharedItems containsString="0" containsBlank="1" containsNumber="1" containsInteger="1" minValue="500" maxValue="50000"/>
    </cacheField>
    <cacheField name="Revenue" numFmtId="0">
      <sharedItems containsString="0" containsBlank="1" containsNumber="1" containsInteger="1" minValue="500" maxValue="500000"/>
    </cacheField>
    <cacheField name="Days (Date )" numFmtId="0" databaseField="0">
      <fieldGroup base="1">
        <rangePr groupBy="days" startDate="2025-01-01T00:00:00" endDate="2025-03-29T00:00:00"/>
        <groupItems count="368">
          <s v="&lt;01/01/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9/03/25"/>
        </groupItems>
      </fieldGroup>
    </cacheField>
    <cacheField name="Months (Date )" numFmtId="0" databaseField="0">
      <fieldGroup base="1">
        <rangePr groupBy="months" startDate="2025-01-01T00:00:00" endDate="2025-03-29T00:00:00"/>
        <groupItems count="14">
          <s v="&lt;01/01/25"/>
          <s v="Jan"/>
          <s v="Feb"/>
          <s v="Mar"/>
          <s v="Apr"/>
          <s v="May"/>
          <s v="Jun"/>
          <s v="Jul"/>
          <s v="Aug"/>
          <s v="Sep"/>
          <s v="Oct"/>
          <s v="Nov"/>
          <s v="Dec"/>
          <s v="&gt;29/03/25"/>
        </groupItems>
      </fieldGroup>
    </cacheField>
  </cacheFields>
  <extLst>
    <ext xmlns:x14="http://schemas.microsoft.com/office/spreadsheetml/2009/9/main" uri="{725AE2AE-9491-48be-B2B4-4EB974FC3084}">
      <x14:pivotCacheDefinition pivotCacheId="82101771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n v="1001"/>
    <x v="0"/>
    <x v="0"/>
    <x v="0"/>
    <x v="0"/>
    <n v="7"/>
    <n v="1500"/>
    <n v="10500"/>
  </r>
  <r>
    <n v="1002"/>
    <x v="1"/>
    <x v="1"/>
    <x v="1"/>
    <x v="1"/>
    <n v="1"/>
    <n v="50000"/>
    <n v="50000"/>
  </r>
  <r>
    <n v="1003"/>
    <x v="2"/>
    <x v="2"/>
    <x v="2"/>
    <x v="2"/>
    <n v="8"/>
    <n v="500"/>
    <n v="4000"/>
  </r>
  <r>
    <n v="1004"/>
    <x v="3"/>
    <x v="0"/>
    <x v="3"/>
    <x v="3"/>
    <n v="6"/>
    <n v="50000"/>
    <n v="300000"/>
  </r>
  <r>
    <n v="1005"/>
    <x v="4"/>
    <x v="1"/>
    <x v="1"/>
    <x v="4"/>
    <n v="6"/>
    <n v="8000"/>
    <n v="48000"/>
  </r>
  <r>
    <n v="1006"/>
    <x v="5"/>
    <x v="0"/>
    <x v="1"/>
    <x v="4"/>
    <n v="3"/>
    <n v="500"/>
    <n v="1500"/>
  </r>
  <r>
    <n v="1007"/>
    <x v="6"/>
    <x v="1"/>
    <x v="1"/>
    <x v="4"/>
    <n v="6"/>
    <n v="1500"/>
    <n v="9000"/>
  </r>
  <r>
    <n v="1008"/>
    <x v="7"/>
    <x v="0"/>
    <x v="2"/>
    <x v="3"/>
    <n v="10"/>
    <n v="1500"/>
    <n v="15000"/>
  </r>
  <r>
    <n v="1009"/>
    <x v="8"/>
    <x v="2"/>
    <x v="1"/>
    <x v="4"/>
    <n v="8"/>
    <n v="1500"/>
    <n v="12000"/>
  </r>
  <r>
    <n v="1010"/>
    <x v="9"/>
    <x v="0"/>
    <x v="0"/>
    <x v="2"/>
    <n v="4"/>
    <n v="8000"/>
    <n v="32000"/>
  </r>
  <r>
    <n v="1011"/>
    <x v="10"/>
    <x v="1"/>
    <x v="2"/>
    <x v="1"/>
    <n v="7"/>
    <n v="12000"/>
    <n v="84000"/>
  </r>
  <r>
    <n v="1012"/>
    <x v="11"/>
    <x v="3"/>
    <x v="1"/>
    <x v="3"/>
    <n v="10"/>
    <n v="500"/>
    <n v="5000"/>
  </r>
  <r>
    <n v="1013"/>
    <x v="12"/>
    <x v="1"/>
    <x v="2"/>
    <x v="0"/>
    <n v="6"/>
    <n v="12000"/>
    <n v="72000"/>
  </r>
  <r>
    <n v="1014"/>
    <x v="13"/>
    <x v="0"/>
    <x v="0"/>
    <x v="1"/>
    <n v="8"/>
    <n v="1500"/>
    <n v="12000"/>
  </r>
  <r>
    <n v="1015"/>
    <x v="14"/>
    <x v="0"/>
    <x v="0"/>
    <x v="4"/>
    <n v="1"/>
    <n v="500"/>
    <n v="500"/>
  </r>
  <r>
    <n v="1016"/>
    <x v="15"/>
    <x v="3"/>
    <x v="1"/>
    <x v="2"/>
    <n v="6"/>
    <n v="12000"/>
    <n v="72000"/>
  </r>
  <r>
    <n v="1017"/>
    <x v="16"/>
    <x v="0"/>
    <x v="4"/>
    <x v="4"/>
    <n v="1"/>
    <n v="50000"/>
    <n v="50000"/>
  </r>
  <r>
    <n v="1018"/>
    <x v="17"/>
    <x v="2"/>
    <x v="1"/>
    <x v="1"/>
    <n v="7"/>
    <n v="12000"/>
    <n v="84000"/>
  </r>
  <r>
    <n v="1019"/>
    <x v="18"/>
    <x v="0"/>
    <x v="1"/>
    <x v="4"/>
    <n v="1"/>
    <n v="1500"/>
    <n v="1500"/>
  </r>
  <r>
    <n v="1020"/>
    <x v="16"/>
    <x v="0"/>
    <x v="1"/>
    <x v="0"/>
    <n v="3"/>
    <n v="50000"/>
    <n v="150000"/>
  </r>
  <r>
    <n v="1021"/>
    <x v="19"/>
    <x v="1"/>
    <x v="1"/>
    <x v="1"/>
    <n v="6"/>
    <n v="500"/>
    <n v="3000"/>
  </r>
  <r>
    <n v="1022"/>
    <x v="20"/>
    <x v="1"/>
    <x v="4"/>
    <x v="4"/>
    <n v="8"/>
    <n v="8000"/>
    <n v="64000"/>
  </r>
  <r>
    <n v="1023"/>
    <x v="21"/>
    <x v="3"/>
    <x v="4"/>
    <x v="3"/>
    <n v="1"/>
    <n v="500"/>
    <n v="500"/>
  </r>
  <r>
    <n v="1024"/>
    <x v="2"/>
    <x v="0"/>
    <x v="4"/>
    <x v="4"/>
    <n v="9"/>
    <n v="50000"/>
    <n v="450000"/>
  </r>
  <r>
    <n v="1025"/>
    <x v="7"/>
    <x v="3"/>
    <x v="2"/>
    <x v="2"/>
    <n v="4"/>
    <n v="1500"/>
    <n v="6000"/>
  </r>
  <r>
    <n v="1026"/>
    <x v="5"/>
    <x v="0"/>
    <x v="4"/>
    <x v="0"/>
    <n v="1"/>
    <n v="12000"/>
    <n v="12000"/>
  </r>
  <r>
    <n v="1027"/>
    <x v="22"/>
    <x v="2"/>
    <x v="0"/>
    <x v="0"/>
    <n v="6"/>
    <n v="500"/>
    <n v="3000"/>
  </r>
  <r>
    <n v="1028"/>
    <x v="23"/>
    <x v="2"/>
    <x v="0"/>
    <x v="0"/>
    <n v="5"/>
    <n v="1500"/>
    <n v="7500"/>
  </r>
  <r>
    <n v="1029"/>
    <x v="24"/>
    <x v="1"/>
    <x v="1"/>
    <x v="4"/>
    <n v="2"/>
    <n v="1500"/>
    <n v="3000"/>
  </r>
  <r>
    <n v="1030"/>
    <x v="25"/>
    <x v="2"/>
    <x v="4"/>
    <x v="0"/>
    <n v="4"/>
    <n v="12000"/>
    <n v="48000"/>
  </r>
  <r>
    <n v="1031"/>
    <x v="26"/>
    <x v="2"/>
    <x v="4"/>
    <x v="0"/>
    <n v="6"/>
    <n v="12000"/>
    <n v="72000"/>
  </r>
  <r>
    <n v="1032"/>
    <x v="6"/>
    <x v="0"/>
    <x v="0"/>
    <x v="3"/>
    <n v="2"/>
    <n v="1500"/>
    <n v="3000"/>
  </r>
  <r>
    <n v="1033"/>
    <x v="27"/>
    <x v="1"/>
    <x v="1"/>
    <x v="0"/>
    <n v="7"/>
    <n v="1500"/>
    <n v="10500"/>
  </r>
  <r>
    <n v="1034"/>
    <x v="28"/>
    <x v="1"/>
    <x v="2"/>
    <x v="4"/>
    <n v="10"/>
    <n v="12000"/>
    <n v="120000"/>
  </r>
  <r>
    <n v="1035"/>
    <x v="14"/>
    <x v="3"/>
    <x v="2"/>
    <x v="4"/>
    <n v="10"/>
    <n v="50000"/>
    <n v="500000"/>
  </r>
  <r>
    <n v="1036"/>
    <x v="29"/>
    <x v="0"/>
    <x v="2"/>
    <x v="4"/>
    <n v="1"/>
    <n v="1500"/>
    <n v="1500"/>
  </r>
  <r>
    <n v="1037"/>
    <x v="30"/>
    <x v="0"/>
    <x v="3"/>
    <x v="4"/>
    <n v="1"/>
    <n v="8000"/>
    <n v="8000"/>
  </r>
  <r>
    <n v="1038"/>
    <x v="24"/>
    <x v="1"/>
    <x v="3"/>
    <x v="2"/>
    <n v="7"/>
    <n v="12000"/>
    <n v="84000"/>
  </r>
  <r>
    <n v="1039"/>
    <x v="31"/>
    <x v="2"/>
    <x v="1"/>
    <x v="3"/>
    <n v="7"/>
    <n v="12000"/>
    <n v="84000"/>
  </r>
  <r>
    <n v="1040"/>
    <x v="32"/>
    <x v="1"/>
    <x v="0"/>
    <x v="1"/>
    <n v="9"/>
    <n v="1500"/>
    <n v="13500"/>
  </r>
  <r>
    <n v="1041"/>
    <x v="33"/>
    <x v="3"/>
    <x v="1"/>
    <x v="0"/>
    <n v="4"/>
    <n v="8000"/>
    <n v="32000"/>
  </r>
  <r>
    <n v="1042"/>
    <x v="15"/>
    <x v="1"/>
    <x v="1"/>
    <x v="2"/>
    <n v="5"/>
    <n v="1500"/>
    <n v="7500"/>
  </r>
  <r>
    <n v="1043"/>
    <x v="34"/>
    <x v="1"/>
    <x v="0"/>
    <x v="2"/>
    <n v="4"/>
    <n v="50000"/>
    <n v="200000"/>
  </r>
  <r>
    <n v="1044"/>
    <x v="35"/>
    <x v="2"/>
    <x v="3"/>
    <x v="1"/>
    <n v="7"/>
    <n v="12000"/>
    <n v="84000"/>
  </r>
  <r>
    <n v="1045"/>
    <x v="31"/>
    <x v="1"/>
    <x v="4"/>
    <x v="4"/>
    <n v="4"/>
    <n v="12000"/>
    <n v="48000"/>
  </r>
  <r>
    <n v="1046"/>
    <x v="5"/>
    <x v="3"/>
    <x v="3"/>
    <x v="1"/>
    <n v="7"/>
    <n v="50000"/>
    <n v="350000"/>
  </r>
  <r>
    <n v="1047"/>
    <x v="3"/>
    <x v="3"/>
    <x v="1"/>
    <x v="1"/>
    <n v="9"/>
    <n v="12000"/>
    <n v="108000"/>
  </r>
  <r>
    <n v="1048"/>
    <x v="36"/>
    <x v="0"/>
    <x v="4"/>
    <x v="3"/>
    <n v="10"/>
    <n v="50000"/>
    <n v="500000"/>
  </r>
  <r>
    <n v="1049"/>
    <x v="37"/>
    <x v="0"/>
    <x v="2"/>
    <x v="2"/>
    <n v="6"/>
    <n v="500"/>
    <n v="3000"/>
  </r>
  <r>
    <n v="1050"/>
    <x v="38"/>
    <x v="3"/>
    <x v="1"/>
    <x v="0"/>
    <n v="7"/>
    <n v="8000"/>
    <n v="56000"/>
  </r>
  <r>
    <n v="1051"/>
    <x v="33"/>
    <x v="2"/>
    <x v="2"/>
    <x v="4"/>
    <n v="6"/>
    <n v="500"/>
    <n v="3000"/>
  </r>
  <r>
    <n v="1052"/>
    <x v="1"/>
    <x v="3"/>
    <x v="0"/>
    <x v="1"/>
    <n v="4"/>
    <n v="1500"/>
    <n v="6000"/>
  </r>
  <r>
    <n v="1053"/>
    <x v="39"/>
    <x v="1"/>
    <x v="4"/>
    <x v="0"/>
    <n v="10"/>
    <n v="12000"/>
    <n v="120000"/>
  </r>
  <r>
    <n v="1054"/>
    <x v="40"/>
    <x v="1"/>
    <x v="2"/>
    <x v="0"/>
    <n v="1"/>
    <n v="500"/>
    <n v="500"/>
  </r>
  <r>
    <n v="1055"/>
    <x v="10"/>
    <x v="3"/>
    <x v="1"/>
    <x v="3"/>
    <n v="2"/>
    <n v="1500"/>
    <n v="3000"/>
  </r>
  <r>
    <n v="1056"/>
    <x v="41"/>
    <x v="1"/>
    <x v="0"/>
    <x v="3"/>
    <n v="5"/>
    <n v="500"/>
    <n v="2500"/>
  </r>
  <r>
    <n v="1057"/>
    <x v="42"/>
    <x v="2"/>
    <x v="3"/>
    <x v="1"/>
    <n v="4"/>
    <n v="1500"/>
    <n v="6000"/>
  </r>
  <r>
    <n v="1058"/>
    <x v="43"/>
    <x v="1"/>
    <x v="0"/>
    <x v="1"/>
    <n v="9"/>
    <n v="500"/>
    <n v="4500"/>
  </r>
  <r>
    <n v="1059"/>
    <x v="22"/>
    <x v="0"/>
    <x v="2"/>
    <x v="1"/>
    <n v="2"/>
    <n v="1500"/>
    <n v="3000"/>
  </r>
  <r>
    <n v="1060"/>
    <x v="36"/>
    <x v="1"/>
    <x v="4"/>
    <x v="3"/>
    <n v="1"/>
    <n v="1500"/>
    <n v="1500"/>
  </r>
  <r>
    <n v="1061"/>
    <x v="44"/>
    <x v="0"/>
    <x v="2"/>
    <x v="1"/>
    <n v="10"/>
    <n v="8000"/>
    <n v="80000"/>
  </r>
  <r>
    <n v="1062"/>
    <x v="9"/>
    <x v="1"/>
    <x v="2"/>
    <x v="3"/>
    <n v="3"/>
    <n v="500"/>
    <n v="1500"/>
  </r>
  <r>
    <n v="1063"/>
    <x v="32"/>
    <x v="2"/>
    <x v="0"/>
    <x v="0"/>
    <n v="2"/>
    <n v="50000"/>
    <n v="100000"/>
  </r>
  <r>
    <n v="1064"/>
    <x v="38"/>
    <x v="1"/>
    <x v="0"/>
    <x v="1"/>
    <n v="9"/>
    <n v="50000"/>
    <n v="450000"/>
  </r>
  <r>
    <n v="1065"/>
    <x v="45"/>
    <x v="0"/>
    <x v="0"/>
    <x v="3"/>
    <n v="10"/>
    <n v="1500"/>
    <n v="15000"/>
  </r>
  <r>
    <n v="1066"/>
    <x v="41"/>
    <x v="3"/>
    <x v="0"/>
    <x v="3"/>
    <n v="2"/>
    <n v="8000"/>
    <n v="16000"/>
  </r>
  <r>
    <n v="1067"/>
    <x v="14"/>
    <x v="3"/>
    <x v="1"/>
    <x v="1"/>
    <n v="5"/>
    <n v="500"/>
    <n v="2500"/>
  </r>
  <r>
    <n v="1068"/>
    <x v="22"/>
    <x v="0"/>
    <x v="1"/>
    <x v="3"/>
    <n v="5"/>
    <n v="8000"/>
    <n v="40000"/>
  </r>
  <r>
    <n v="1069"/>
    <x v="11"/>
    <x v="0"/>
    <x v="2"/>
    <x v="1"/>
    <n v="9"/>
    <n v="1500"/>
    <n v="13500"/>
  </r>
  <r>
    <n v="1070"/>
    <x v="36"/>
    <x v="3"/>
    <x v="1"/>
    <x v="1"/>
    <n v="2"/>
    <n v="8000"/>
    <n v="16000"/>
  </r>
  <r>
    <n v="1071"/>
    <x v="46"/>
    <x v="3"/>
    <x v="1"/>
    <x v="3"/>
    <n v="7"/>
    <n v="1500"/>
    <n v="10500"/>
  </r>
  <r>
    <n v="1072"/>
    <x v="47"/>
    <x v="1"/>
    <x v="1"/>
    <x v="0"/>
    <n v="6"/>
    <n v="1500"/>
    <n v="9000"/>
  </r>
  <r>
    <n v="1073"/>
    <x v="48"/>
    <x v="0"/>
    <x v="4"/>
    <x v="3"/>
    <n v="10"/>
    <n v="50000"/>
    <n v="500000"/>
  </r>
  <r>
    <n v="1074"/>
    <x v="46"/>
    <x v="1"/>
    <x v="2"/>
    <x v="2"/>
    <n v="10"/>
    <n v="8000"/>
    <n v="80000"/>
  </r>
  <r>
    <n v="1075"/>
    <x v="30"/>
    <x v="3"/>
    <x v="4"/>
    <x v="1"/>
    <n v="1"/>
    <n v="12000"/>
    <n v="12000"/>
  </r>
  <r>
    <n v="1076"/>
    <x v="49"/>
    <x v="3"/>
    <x v="2"/>
    <x v="0"/>
    <n v="3"/>
    <n v="1500"/>
    <n v="4500"/>
  </r>
  <r>
    <n v="1077"/>
    <x v="1"/>
    <x v="3"/>
    <x v="4"/>
    <x v="1"/>
    <n v="7"/>
    <n v="1500"/>
    <n v="10500"/>
  </r>
  <r>
    <n v="1078"/>
    <x v="36"/>
    <x v="2"/>
    <x v="0"/>
    <x v="2"/>
    <n v="2"/>
    <n v="500"/>
    <n v="1000"/>
  </r>
  <r>
    <n v="1079"/>
    <x v="50"/>
    <x v="0"/>
    <x v="2"/>
    <x v="2"/>
    <n v="7"/>
    <n v="8000"/>
    <n v="56000"/>
  </r>
  <r>
    <n v="1080"/>
    <x v="51"/>
    <x v="0"/>
    <x v="4"/>
    <x v="0"/>
    <n v="10"/>
    <n v="50000"/>
    <n v="500000"/>
  </r>
  <r>
    <n v="1081"/>
    <x v="14"/>
    <x v="1"/>
    <x v="0"/>
    <x v="1"/>
    <n v="3"/>
    <n v="50000"/>
    <n v="150000"/>
  </r>
  <r>
    <n v="1082"/>
    <x v="16"/>
    <x v="1"/>
    <x v="1"/>
    <x v="2"/>
    <n v="1"/>
    <n v="12000"/>
    <n v="12000"/>
  </r>
  <r>
    <n v="1083"/>
    <x v="10"/>
    <x v="3"/>
    <x v="1"/>
    <x v="0"/>
    <n v="10"/>
    <n v="12000"/>
    <n v="120000"/>
  </r>
  <r>
    <n v="1084"/>
    <x v="52"/>
    <x v="3"/>
    <x v="2"/>
    <x v="0"/>
    <n v="4"/>
    <n v="1500"/>
    <n v="6000"/>
  </r>
  <r>
    <n v="1085"/>
    <x v="37"/>
    <x v="0"/>
    <x v="1"/>
    <x v="0"/>
    <n v="1"/>
    <n v="500"/>
    <n v="500"/>
  </r>
  <r>
    <n v="1086"/>
    <x v="32"/>
    <x v="3"/>
    <x v="2"/>
    <x v="0"/>
    <n v="7"/>
    <n v="50000"/>
    <n v="350000"/>
  </r>
  <r>
    <n v="1087"/>
    <x v="30"/>
    <x v="0"/>
    <x v="0"/>
    <x v="3"/>
    <n v="8"/>
    <n v="12000"/>
    <n v="96000"/>
  </r>
  <r>
    <n v="1088"/>
    <x v="53"/>
    <x v="0"/>
    <x v="3"/>
    <x v="1"/>
    <n v="3"/>
    <n v="8000"/>
    <n v="24000"/>
  </r>
  <r>
    <n v="1089"/>
    <x v="54"/>
    <x v="2"/>
    <x v="0"/>
    <x v="3"/>
    <n v="2"/>
    <n v="8000"/>
    <n v="16000"/>
  </r>
  <r>
    <n v="1090"/>
    <x v="55"/>
    <x v="2"/>
    <x v="1"/>
    <x v="2"/>
    <n v="1"/>
    <n v="8000"/>
    <n v="8000"/>
  </r>
  <r>
    <n v="1091"/>
    <x v="29"/>
    <x v="1"/>
    <x v="0"/>
    <x v="2"/>
    <n v="1"/>
    <n v="8000"/>
    <n v="8000"/>
  </r>
  <r>
    <n v="1092"/>
    <x v="36"/>
    <x v="0"/>
    <x v="3"/>
    <x v="4"/>
    <n v="4"/>
    <n v="12000"/>
    <n v="48000"/>
  </r>
  <r>
    <n v="1093"/>
    <x v="39"/>
    <x v="3"/>
    <x v="1"/>
    <x v="2"/>
    <n v="6"/>
    <n v="50000"/>
    <n v="300000"/>
  </r>
  <r>
    <n v="1094"/>
    <x v="56"/>
    <x v="3"/>
    <x v="1"/>
    <x v="2"/>
    <n v="7"/>
    <n v="12000"/>
    <n v="84000"/>
  </r>
  <r>
    <n v="1095"/>
    <x v="27"/>
    <x v="3"/>
    <x v="0"/>
    <x v="1"/>
    <n v="5"/>
    <n v="8000"/>
    <n v="40000"/>
  </r>
  <r>
    <n v="1096"/>
    <x v="14"/>
    <x v="3"/>
    <x v="1"/>
    <x v="4"/>
    <n v="3"/>
    <n v="50000"/>
    <n v="150000"/>
  </r>
  <r>
    <n v="1097"/>
    <x v="23"/>
    <x v="0"/>
    <x v="3"/>
    <x v="4"/>
    <n v="4"/>
    <n v="12000"/>
    <n v="48000"/>
  </r>
  <r>
    <n v="1098"/>
    <x v="57"/>
    <x v="3"/>
    <x v="0"/>
    <x v="0"/>
    <n v="9"/>
    <n v="1500"/>
    <n v="13500"/>
  </r>
  <r>
    <n v="1099"/>
    <x v="58"/>
    <x v="2"/>
    <x v="3"/>
    <x v="0"/>
    <n v="2"/>
    <n v="8000"/>
    <n v="16000"/>
  </r>
  <r>
    <n v="1100"/>
    <x v="59"/>
    <x v="1"/>
    <x v="0"/>
    <x v="3"/>
    <n v="4"/>
    <n v="8000"/>
    <n v="32000"/>
  </r>
  <r>
    <n v="1101"/>
    <x v="39"/>
    <x v="2"/>
    <x v="1"/>
    <x v="0"/>
    <n v="9"/>
    <n v="50000"/>
    <n v="450000"/>
  </r>
  <r>
    <n v="1102"/>
    <x v="32"/>
    <x v="3"/>
    <x v="0"/>
    <x v="1"/>
    <n v="7"/>
    <n v="500"/>
    <n v="3500"/>
  </r>
  <r>
    <n v="1103"/>
    <x v="60"/>
    <x v="2"/>
    <x v="4"/>
    <x v="3"/>
    <n v="1"/>
    <n v="8000"/>
    <n v="8000"/>
  </r>
  <r>
    <n v="1104"/>
    <x v="51"/>
    <x v="3"/>
    <x v="4"/>
    <x v="0"/>
    <n v="6"/>
    <n v="1500"/>
    <n v="9000"/>
  </r>
  <r>
    <n v="1105"/>
    <x v="50"/>
    <x v="0"/>
    <x v="4"/>
    <x v="4"/>
    <n v="2"/>
    <n v="8000"/>
    <n v="16000"/>
  </r>
  <r>
    <n v="1106"/>
    <x v="61"/>
    <x v="0"/>
    <x v="4"/>
    <x v="0"/>
    <n v="7"/>
    <n v="8000"/>
    <n v="56000"/>
  </r>
  <r>
    <n v="1107"/>
    <x v="39"/>
    <x v="3"/>
    <x v="4"/>
    <x v="4"/>
    <n v="8"/>
    <n v="1500"/>
    <n v="12000"/>
  </r>
  <r>
    <n v="1108"/>
    <x v="62"/>
    <x v="2"/>
    <x v="1"/>
    <x v="3"/>
    <n v="6"/>
    <n v="50000"/>
    <n v="300000"/>
  </r>
  <r>
    <n v="1109"/>
    <x v="8"/>
    <x v="1"/>
    <x v="1"/>
    <x v="0"/>
    <n v="9"/>
    <n v="12000"/>
    <n v="108000"/>
  </r>
  <r>
    <n v="1110"/>
    <x v="50"/>
    <x v="0"/>
    <x v="2"/>
    <x v="4"/>
    <n v="7"/>
    <n v="50000"/>
    <n v="350000"/>
  </r>
  <r>
    <n v="1111"/>
    <x v="40"/>
    <x v="0"/>
    <x v="2"/>
    <x v="2"/>
    <n v="3"/>
    <n v="1500"/>
    <n v="4500"/>
  </r>
  <r>
    <n v="1112"/>
    <x v="63"/>
    <x v="2"/>
    <x v="4"/>
    <x v="0"/>
    <n v="2"/>
    <n v="50000"/>
    <n v="100000"/>
  </r>
  <r>
    <n v="1113"/>
    <x v="16"/>
    <x v="2"/>
    <x v="3"/>
    <x v="3"/>
    <n v="7"/>
    <n v="8000"/>
    <n v="56000"/>
  </r>
  <r>
    <n v="1114"/>
    <x v="64"/>
    <x v="3"/>
    <x v="1"/>
    <x v="2"/>
    <n v="8"/>
    <n v="50000"/>
    <n v="400000"/>
  </r>
  <r>
    <n v="1115"/>
    <x v="19"/>
    <x v="2"/>
    <x v="2"/>
    <x v="3"/>
    <n v="5"/>
    <n v="1500"/>
    <n v="7500"/>
  </r>
  <r>
    <n v="1116"/>
    <x v="65"/>
    <x v="2"/>
    <x v="2"/>
    <x v="1"/>
    <n v="1"/>
    <n v="1500"/>
    <n v="1500"/>
  </r>
  <r>
    <n v="1117"/>
    <x v="66"/>
    <x v="3"/>
    <x v="0"/>
    <x v="0"/>
    <n v="9"/>
    <n v="8000"/>
    <n v="72000"/>
  </r>
  <r>
    <n v="1118"/>
    <x v="42"/>
    <x v="0"/>
    <x v="2"/>
    <x v="4"/>
    <n v="9"/>
    <n v="8000"/>
    <n v="72000"/>
  </r>
  <r>
    <n v="1119"/>
    <x v="65"/>
    <x v="0"/>
    <x v="2"/>
    <x v="0"/>
    <n v="2"/>
    <n v="12000"/>
    <n v="24000"/>
  </r>
  <r>
    <n v="1120"/>
    <x v="66"/>
    <x v="1"/>
    <x v="2"/>
    <x v="2"/>
    <n v="3"/>
    <n v="50000"/>
    <n v="150000"/>
  </r>
  <r>
    <n v="1121"/>
    <x v="6"/>
    <x v="3"/>
    <x v="2"/>
    <x v="4"/>
    <n v="6"/>
    <n v="500"/>
    <n v="3000"/>
  </r>
  <r>
    <n v="1122"/>
    <x v="67"/>
    <x v="3"/>
    <x v="3"/>
    <x v="4"/>
    <n v="9"/>
    <n v="12000"/>
    <n v="108000"/>
  </r>
  <r>
    <n v="1123"/>
    <x v="41"/>
    <x v="3"/>
    <x v="0"/>
    <x v="4"/>
    <n v="9"/>
    <n v="50000"/>
    <n v="450000"/>
  </r>
  <r>
    <n v="1124"/>
    <x v="21"/>
    <x v="3"/>
    <x v="1"/>
    <x v="4"/>
    <n v="8"/>
    <n v="8000"/>
    <n v="64000"/>
  </r>
  <r>
    <n v="1125"/>
    <x v="11"/>
    <x v="3"/>
    <x v="4"/>
    <x v="3"/>
    <n v="9"/>
    <n v="8000"/>
    <n v="72000"/>
  </r>
  <r>
    <n v="1126"/>
    <x v="24"/>
    <x v="3"/>
    <x v="4"/>
    <x v="1"/>
    <n v="6"/>
    <n v="8000"/>
    <n v="48000"/>
  </r>
  <r>
    <n v="1127"/>
    <x v="68"/>
    <x v="0"/>
    <x v="2"/>
    <x v="2"/>
    <n v="6"/>
    <n v="12000"/>
    <n v="72000"/>
  </r>
  <r>
    <n v="1128"/>
    <x v="2"/>
    <x v="2"/>
    <x v="2"/>
    <x v="4"/>
    <n v="10"/>
    <n v="1500"/>
    <n v="15000"/>
  </r>
  <r>
    <n v="1129"/>
    <x v="28"/>
    <x v="0"/>
    <x v="1"/>
    <x v="2"/>
    <n v="4"/>
    <n v="1500"/>
    <n v="6000"/>
  </r>
  <r>
    <n v="1130"/>
    <x v="69"/>
    <x v="3"/>
    <x v="1"/>
    <x v="0"/>
    <n v="6"/>
    <n v="8000"/>
    <n v="48000"/>
  </r>
  <r>
    <n v="1131"/>
    <x v="26"/>
    <x v="1"/>
    <x v="2"/>
    <x v="0"/>
    <n v="10"/>
    <n v="50000"/>
    <n v="500000"/>
  </r>
  <r>
    <n v="1132"/>
    <x v="23"/>
    <x v="0"/>
    <x v="1"/>
    <x v="0"/>
    <n v="7"/>
    <n v="500"/>
    <n v="3500"/>
  </r>
  <r>
    <n v="1133"/>
    <x v="45"/>
    <x v="3"/>
    <x v="3"/>
    <x v="3"/>
    <n v="6"/>
    <n v="50000"/>
    <n v="300000"/>
  </r>
  <r>
    <n v="1134"/>
    <x v="33"/>
    <x v="0"/>
    <x v="3"/>
    <x v="0"/>
    <n v="6"/>
    <n v="500"/>
    <n v="3000"/>
  </r>
  <r>
    <n v="1135"/>
    <x v="12"/>
    <x v="0"/>
    <x v="0"/>
    <x v="1"/>
    <n v="1"/>
    <n v="1500"/>
    <n v="1500"/>
  </r>
  <r>
    <n v="1136"/>
    <x v="54"/>
    <x v="0"/>
    <x v="4"/>
    <x v="1"/>
    <n v="1"/>
    <n v="50000"/>
    <n v="50000"/>
  </r>
  <r>
    <n v="1137"/>
    <x v="61"/>
    <x v="0"/>
    <x v="0"/>
    <x v="1"/>
    <n v="2"/>
    <n v="1500"/>
    <n v="3000"/>
  </r>
  <r>
    <n v="1138"/>
    <x v="70"/>
    <x v="0"/>
    <x v="1"/>
    <x v="2"/>
    <n v="4"/>
    <n v="12000"/>
    <n v="48000"/>
  </r>
  <r>
    <n v="1139"/>
    <x v="52"/>
    <x v="2"/>
    <x v="4"/>
    <x v="3"/>
    <n v="3"/>
    <n v="12000"/>
    <n v="36000"/>
  </r>
  <r>
    <n v="1140"/>
    <x v="39"/>
    <x v="1"/>
    <x v="1"/>
    <x v="3"/>
    <n v="7"/>
    <n v="1500"/>
    <n v="10500"/>
  </r>
  <r>
    <n v="1141"/>
    <x v="2"/>
    <x v="2"/>
    <x v="2"/>
    <x v="0"/>
    <n v="3"/>
    <n v="12000"/>
    <n v="36000"/>
  </r>
  <r>
    <n v="1142"/>
    <x v="0"/>
    <x v="3"/>
    <x v="2"/>
    <x v="3"/>
    <n v="6"/>
    <n v="50000"/>
    <n v="300000"/>
  </r>
  <r>
    <n v="1143"/>
    <x v="46"/>
    <x v="3"/>
    <x v="2"/>
    <x v="2"/>
    <n v="9"/>
    <n v="50000"/>
    <n v="450000"/>
  </r>
  <r>
    <n v="1144"/>
    <x v="66"/>
    <x v="2"/>
    <x v="4"/>
    <x v="1"/>
    <n v="4"/>
    <n v="1500"/>
    <n v="6000"/>
  </r>
  <r>
    <n v="1145"/>
    <x v="36"/>
    <x v="2"/>
    <x v="0"/>
    <x v="3"/>
    <n v="4"/>
    <n v="1500"/>
    <n v="6000"/>
  </r>
  <r>
    <n v="1146"/>
    <x v="18"/>
    <x v="2"/>
    <x v="1"/>
    <x v="1"/>
    <n v="4"/>
    <n v="8000"/>
    <n v="32000"/>
  </r>
  <r>
    <n v="1147"/>
    <x v="71"/>
    <x v="3"/>
    <x v="0"/>
    <x v="0"/>
    <n v="1"/>
    <n v="8000"/>
    <n v="8000"/>
  </r>
  <r>
    <n v="1148"/>
    <x v="49"/>
    <x v="1"/>
    <x v="3"/>
    <x v="2"/>
    <n v="10"/>
    <n v="8000"/>
    <n v="80000"/>
  </r>
  <r>
    <n v="1149"/>
    <x v="25"/>
    <x v="0"/>
    <x v="3"/>
    <x v="4"/>
    <n v="4"/>
    <n v="500"/>
    <n v="2000"/>
  </r>
  <r>
    <n v="1150"/>
    <x v="20"/>
    <x v="2"/>
    <x v="1"/>
    <x v="4"/>
    <n v="9"/>
    <n v="500"/>
    <n v="4500"/>
  </r>
  <r>
    <n v="1151"/>
    <x v="56"/>
    <x v="1"/>
    <x v="0"/>
    <x v="4"/>
    <n v="9"/>
    <n v="12000"/>
    <n v="108000"/>
  </r>
  <r>
    <n v="1152"/>
    <x v="59"/>
    <x v="3"/>
    <x v="2"/>
    <x v="0"/>
    <n v="6"/>
    <n v="50000"/>
    <n v="300000"/>
  </r>
  <r>
    <n v="1153"/>
    <x v="52"/>
    <x v="0"/>
    <x v="0"/>
    <x v="0"/>
    <n v="9"/>
    <n v="500"/>
    <n v="4500"/>
  </r>
  <r>
    <n v="1154"/>
    <x v="31"/>
    <x v="1"/>
    <x v="1"/>
    <x v="2"/>
    <n v="9"/>
    <n v="500"/>
    <n v="4500"/>
  </r>
  <r>
    <n v="1155"/>
    <x v="29"/>
    <x v="3"/>
    <x v="2"/>
    <x v="4"/>
    <n v="9"/>
    <n v="1500"/>
    <n v="13500"/>
  </r>
  <r>
    <n v="1156"/>
    <x v="10"/>
    <x v="2"/>
    <x v="4"/>
    <x v="0"/>
    <n v="4"/>
    <n v="1500"/>
    <n v="6000"/>
  </r>
  <r>
    <n v="1157"/>
    <x v="8"/>
    <x v="0"/>
    <x v="0"/>
    <x v="3"/>
    <n v="9"/>
    <n v="50000"/>
    <n v="450000"/>
  </r>
  <r>
    <n v="1158"/>
    <x v="7"/>
    <x v="3"/>
    <x v="1"/>
    <x v="4"/>
    <n v="8"/>
    <n v="8000"/>
    <n v="64000"/>
  </r>
  <r>
    <n v="1159"/>
    <x v="37"/>
    <x v="1"/>
    <x v="1"/>
    <x v="1"/>
    <n v="8"/>
    <n v="8000"/>
    <n v="64000"/>
  </r>
  <r>
    <n v="1160"/>
    <x v="72"/>
    <x v="3"/>
    <x v="3"/>
    <x v="3"/>
    <n v="10"/>
    <n v="50000"/>
    <n v="500000"/>
  </r>
  <r>
    <n v="1161"/>
    <x v="0"/>
    <x v="0"/>
    <x v="1"/>
    <x v="1"/>
    <n v="8"/>
    <n v="1500"/>
    <n v="12000"/>
  </r>
  <r>
    <n v="1162"/>
    <x v="38"/>
    <x v="3"/>
    <x v="0"/>
    <x v="0"/>
    <n v="7"/>
    <n v="1500"/>
    <n v="10500"/>
  </r>
  <r>
    <n v="1163"/>
    <x v="36"/>
    <x v="1"/>
    <x v="2"/>
    <x v="4"/>
    <n v="5"/>
    <n v="12000"/>
    <n v="60000"/>
  </r>
  <r>
    <n v="1164"/>
    <x v="25"/>
    <x v="0"/>
    <x v="3"/>
    <x v="2"/>
    <n v="6"/>
    <n v="500"/>
    <n v="3000"/>
  </r>
  <r>
    <n v="1165"/>
    <x v="27"/>
    <x v="0"/>
    <x v="1"/>
    <x v="2"/>
    <n v="5"/>
    <n v="500"/>
    <n v="2500"/>
  </r>
  <r>
    <n v="1166"/>
    <x v="36"/>
    <x v="1"/>
    <x v="3"/>
    <x v="2"/>
    <n v="8"/>
    <n v="12000"/>
    <n v="96000"/>
  </r>
  <r>
    <n v="1167"/>
    <x v="73"/>
    <x v="3"/>
    <x v="0"/>
    <x v="1"/>
    <n v="7"/>
    <n v="12000"/>
    <n v="84000"/>
  </r>
  <r>
    <n v="1168"/>
    <x v="72"/>
    <x v="0"/>
    <x v="3"/>
    <x v="1"/>
    <n v="6"/>
    <n v="8000"/>
    <n v="48000"/>
  </r>
  <r>
    <n v="1169"/>
    <x v="74"/>
    <x v="2"/>
    <x v="4"/>
    <x v="3"/>
    <n v="9"/>
    <n v="500"/>
    <n v="4500"/>
  </r>
  <r>
    <n v="1170"/>
    <x v="4"/>
    <x v="2"/>
    <x v="3"/>
    <x v="2"/>
    <n v="5"/>
    <n v="12000"/>
    <n v="60000"/>
  </r>
  <r>
    <n v="1171"/>
    <x v="36"/>
    <x v="3"/>
    <x v="4"/>
    <x v="3"/>
    <n v="4"/>
    <n v="8000"/>
    <n v="32000"/>
  </r>
  <r>
    <n v="1172"/>
    <x v="68"/>
    <x v="3"/>
    <x v="1"/>
    <x v="4"/>
    <n v="7"/>
    <n v="50000"/>
    <n v="350000"/>
  </r>
  <r>
    <n v="1173"/>
    <x v="3"/>
    <x v="3"/>
    <x v="0"/>
    <x v="1"/>
    <n v="5"/>
    <n v="8000"/>
    <n v="40000"/>
  </r>
  <r>
    <n v="1174"/>
    <x v="67"/>
    <x v="3"/>
    <x v="1"/>
    <x v="4"/>
    <n v="5"/>
    <n v="12000"/>
    <n v="60000"/>
  </r>
  <r>
    <n v="1175"/>
    <x v="69"/>
    <x v="1"/>
    <x v="0"/>
    <x v="4"/>
    <n v="3"/>
    <n v="50000"/>
    <n v="150000"/>
  </r>
  <r>
    <n v="1176"/>
    <x v="75"/>
    <x v="3"/>
    <x v="3"/>
    <x v="1"/>
    <n v="3"/>
    <n v="500"/>
    <n v="1500"/>
  </r>
  <r>
    <n v="1177"/>
    <x v="72"/>
    <x v="0"/>
    <x v="0"/>
    <x v="4"/>
    <n v="8"/>
    <n v="12000"/>
    <n v="96000"/>
  </r>
  <r>
    <n v="1178"/>
    <x v="8"/>
    <x v="3"/>
    <x v="3"/>
    <x v="4"/>
    <n v="10"/>
    <n v="8000"/>
    <n v="80000"/>
  </r>
  <r>
    <n v="1179"/>
    <x v="58"/>
    <x v="1"/>
    <x v="2"/>
    <x v="3"/>
    <n v="3"/>
    <n v="1500"/>
    <n v="4500"/>
  </r>
  <r>
    <n v="1180"/>
    <x v="66"/>
    <x v="1"/>
    <x v="0"/>
    <x v="2"/>
    <n v="2"/>
    <n v="500"/>
    <n v="1000"/>
  </r>
  <r>
    <n v="1181"/>
    <x v="12"/>
    <x v="1"/>
    <x v="1"/>
    <x v="1"/>
    <n v="7"/>
    <n v="1500"/>
    <n v="10500"/>
  </r>
  <r>
    <n v="1182"/>
    <x v="28"/>
    <x v="0"/>
    <x v="1"/>
    <x v="0"/>
    <n v="10"/>
    <n v="8000"/>
    <n v="80000"/>
  </r>
  <r>
    <n v="1183"/>
    <x v="25"/>
    <x v="2"/>
    <x v="2"/>
    <x v="2"/>
    <n v="5"/>
    <n v="50000"/>
    <n v="250000"/>
  </r>
  <r>
    <n v="1184"/>
    <x v="76"/>
    <x v="0"/>
    <x v="3"/>
    <x v="0"/>
    <n v="10"/>
    <n v="12000"/>
    <n v="120000"/>
  </r>
  <r>
    <n v="1185"/>
    <x v="8"/>
    <x v="3"/>
    <x v="2"/>
    <x v="2"/>
    <n v="6"/>
    <n v="12000"/>
    <n v="72000"/>
  </r>
  <r>
    <n v="1186"/>
    <x v="34"/>
    <x v="1"/>
    <x v="2"/>
    <x v="1"/>
    <n v="7"/>
    <n v="8000"/>
    <n v="56000"/>
  </r>
  <r>
    <n v="1187"/>
    <x v="27"/>
    <x v="0"/>
    <x v="1"/>
    <x v="0"/>
    <n v="2"/>
    <n v="12000"/>
    <n v="24000"/>
  </r>
  <r>
    <n v="1188"/>
    <x v="1"/>
    <x v="1"/>
    <x v="0"/>
    <x v="1"/>
    <n v="8"/>
    <n v="500"/>
    <n v="4000"/>
  </r>
  <r>
    <n v="1189"/>
    <x v="54"/>
    <x v="3"/>
    <x v="0"/>
    <x v="0"/>
    <n v="4"/>
    <n v="1500"/>
    <n v="6000"/>
  </r>
  <r>
    <n v="1190"/>
    <x v="56"/>
    <x v="1"/>
    <x v="1"/>
    <x v="0"/>
    <n v="7"/>
    <n v="12000"/>
    <n v="84000"/>
  </r>
  <r>
    <n v="1191"/>
    <x v="58"/>
    <x v="3"/>
    <x v="2"/>
    <x v="3"/>
    <n v="3"/>
    <n v="12000"/>
    <n v="36000"/>
  </r>
  <r>
    <n v="1192"/>
    <x v="72"/>
    <x v="0"/>
    <x v="0"/>
    <x v="4"/>
    <n v="1"/>
    <n v="500"/>
    <n v="500"/>
  </r>
  <r>
    <n v="1193"/>
    <x v="29"/>
    <x v="2"/>
    <x v="1"/>
    <x v="2"/>
    <n v="6"/>
    <n v="1500"/>
    <n v="9000"/>
  </r>
  <r>
    <n v="1194"/>
    <x v="27"/>
    <x v="1"/>
    <x v="0"/>
    <x v="1"/>
    <n v="10"/>
    <n v="50000"/>
    <n v="500000"/>
  </r>
  <r>
    <n v="1195"/>
    <x v="77"/>
    <x v="2"/>
    <x v="3"/>
    <x v="1"/>
    <n v="9"/>
    <n v="50000"/>
    <n v="450000"/>
  </r>
  <r>
    <n v="1196"/>
    <x v="51"/>
    <x v="3"/>
    <x v="4"/>
    <x v="1"/>
    <n v="4"/>
    <n v="50000"/>
    <n v="200000"/>
  </r>
  <r>
    <n v="1197"/>
    <x v="49"/>
    <x v="0"/>
    <x v="0"/>
    <x v="3"/>
    <n v="8"/>
    <n v="1500"/>
    <n v="12000"/>
  </r>
  <r>
    <n v="1198"/>
    <x v="43"/>
    <x v="0"/>
    <x v="2"/>
    <x v="4"/>
    <n v="6"/>
    <n v="8000"/>
    <n v="48000"/>
  </r>
  <r>
    <n v="1199"/>
    <x v="4"/>
    <x v="1"/>
    <x v="1"/>
    <x v="2"/>
    <n v="5"/>
    <n v="1500"/>
    <n v="7500"/>
  </r>
  <r>
    <m/>
    <x v="78"/>
    <x v="4"/>
    <x v="5"/>
    <x v="5"/>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14C5BBC-1057-EC48-BF9D-655FB9380581}" name="PivotTable14" cacheId="2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ales preson">
  <location ref="G22:H28" firstHeaderRow="1" firstDataRow="1" firstDataCol="1"/>
  <pivotFields count="10">
    <pivotField showAll="0"/>
    <pivotField showAll="0">
      <items count="86">
        <item x="47"/>
        <item x="41"/>
        <item m="1" x="84"/>
        <item x="76"/>
        <item x="19"/>
        <item x="27"/>
        <item x="52"/>
        <item m="1" x="80"/>
        <item x="49"/>
        <item x="51"/>
        <item x="50"/>
        <item x="34"/>
        <item x="63"/>
        <item x="77"/>
        <item x="56"/>
        <item x="6"/>
        <item x="58"/>
        <item x="44"/>
        <item x="28"/>
        <item x="26"/>
        <item x="32"/>
        <item x="5"/>
        <item x="45"/>
        <item m="1" x="81"/>
        <item x="55"/>
        <item x="33"/>
        <item x="37"/>
        <item x="74"/>
        <item x="64"/>
        <item x="65"/>
        <item x="43"/>
        <item x="10"/>
        <item x="57"/>
        <item x="3"/>
        <item x="11"/>
        <item x="62"/>
        <item x="40"/>
        <item x="13"/>
        <item x="20"/>
        <item x="15"/>
        <item x="2"/>
        <item x="60"/>
        <item x="24"/>
        <item x="48"/>
        <item m="1" x="82"/>
        <item x="68"/>
        <item x="75"/>
        <item x="54"/>
        <item x="9"/>
        <item x="73"/>
        <item x="66"/>
        <item x="46"/>
        <item x="53"/>
        <item m="1" x="79"/>
        <item x="59"/>
        <item x="21"/>
        <item x="35"/>
        <item x="61"/>
        <item x="29"/>
        <item x="22"/>
        <item x="70"/>
        <item x="1"/>
        <item x="67"/>
        <item x="31"/>
        <item x="30"/>
        <item x="17"/>
        <item x="25"/>
        <item x="18"/>
        <item x="16"/>
        <item x="69"/>
        <item x="8"/>
        <item x="12"/>
        <item x="0"/>
        <item x="7"/>
        <item m="1" x="83"/>
        <item x="14"/>
        <item x="23"/>
        <item x="39"/>
        <item x="72"/>
        <item x="42"/>
        <item x="4"/>
        <item x="38"/>
        <item x="71"/>
        <item x="78"/>
        <item x="36"/>
        <item t="default"/>
      </items>
    </pivotField>
    <pivotField showAll="0">
      <items count="6">
        <item x="1"/>
        <item x="3"/>
        <item x="2"/>
        <item x="0"/>
        <item h="1" x="4"/>
        <item t="default"/>
      </items>
    </pivotField>
    <pivotField axis="axisRow" showAll="0">
      <items count="7">
        <item x="1"/>
        <item x="3"/>
        <item x="2"/>
        <item x="4"/>
        <item x="0"/>
        <item h="1" x="5"/>
        <item t="default"/>
      </items>
    </pivotField>
    <pivotField showAll="0"/>
    <pivotField showAll="0"/>
    <pivotField showAll="0"/>
    <pivotField dataField="1" showAll="0"/>
    <pivotField showAll="0" defaultSubtotal="0"/>
    <pivotField showAll="0" defaultSubtotal="0">
      <items count="14">
        <item h="1" x="0"/>
        <item x="1"/>
        <item x="2"/>
        <item x="3"/>
        <item x="4"/>
        <item x="5"/>
        <item x="6"/>
        <item x="7"/>
        <item x="8"/>
        <item x="9"/>
        <item x="10"/>
        <item x="11"/>
        <item x="12"/>
        <item x="13"/>
      </items>
    </pivotField>
  </pivotFields>
  <rowFields count="1">
    <field x="3"/>
  </rowFields>
  <rowItems count="6">
    <i>
      <x/>
    </i>
    <i>
      <x v="1"/>
    </i>
    <i>
      <x v="2"/>
    </i>
    <i>
      <x v="3"/>
    </i>
    <i>
      <x v="4"/>
    </i>
    <i t="grand">
      <x/>
    </i>
  </rowItems>
  <colItems count="1">
    <i/>
  </colItems>
  <dataFields count="1">
    <dataField name="Sum of Revenue" fld="7" baseField="0" baseItem="0"/>
  </dataFields>
  <formats count="6">
    <format dxfId="18">
      <pivotArea type="all" dataOnly="0" outline="0" fieldPosition="0"/>
    </format>
    <format dxfId="19">
      <pivotArea outline="0" collapsedLevelsAreSubtotals="1" fieldPosition="0"/>
    </format>
    <format dxfId="20">
      <pivotArea field="3" type="button" dataOnly="0" labelOnly="1" outline="0" axis="axisRow" fieldPosition="0"/>
    </format>
    <format dxfId="21">
      <pivotArea dataOnly="0" labelOnly="1" fieldPosition="0">
        <references count="1">
          <reference field="3" count="0"/>
        </references>
      </pivotArea>
    </format>
    <format dxfId="22">
      <pivotArea dataOnly="0" labelOnly="1" grandRow="1" outline="0" fieldPosition="0"/>
    </format>
    <format dxfId="2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AEAF155-A882-7443-A53E-036A6BB5672E}" name="PivotTable13" cacheId="2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Region">
  <location ref="D13:E18" firstHeaderRow="1" firstDataRow="1" firstDataCol="1"/>
  <pivotFields count="10">
    <pivotField showAll="0"/>
    <pivotField showAll="0">
      <items count="86">
        <item x="47"/>
        <item x="41"/>
        <item m="1" x="84"/>
        <item x="76"/>
        <item x="19"/>
        <item x="27"/>
        <item x="52"/>
        <item m="1" x="80"/>
        <item x="49"/>
        <item x="51"/>
        <item x="50"/>
        <item x="34"/>
        <item x="63"/>
        <item x="77"/>
        <item x="56"/>
        <item x="6"/>
        <item x="58"/>
        <item x="44"/>
        <item x="28"/>
        <item x="26"/>
        <item x="32"/>
        <item x="5"/>
        <item x="45"/>
        <item m="1" x="81"/>
        <item x="55"/>
        <item x="33"/>
        <item x="37"/>
        <item x="74"/>
        <item x="64"/>
        <item x="65"/>
        <item x="43"/>
        <item x="10"/>
        <item x="57"/>
        <item x="3"/>
        <item x="11"/>
        <item x="62"/>
        <item x="40"/>
        <item x="13"/>
        <item x="20"/>
        <item x="15"/>
        <item x="2"/>
        <item x="60"/>
        <item x="24"/>
        <item x="48"/>
        <item m="1" x="82"/>
        <item x="68"/>
        <item x="75"/>
        <item x="54"/>
        <item x="9"/>
        <item x="73"/>
        <item x="66"/>
        <item x="46"/>
        <item x="53"/>
        <item m="1" x="79"/>
        <item x="59"/>
        <item x="21"/>
        <item x="35"/>
        <item x="61"/>
        <item x="29"/>
        <item x="22"/>
        <item x="70"/>
        <item x="1"/>
        <item x="67"/>
        <item x="31"/>
        <item x="30"/>
        <item x="17"/>
        <item x="25"/>
        <item x="18"/>
        <item x="16"/>
        <item x="69"/>
        <item x="8"/>
        <item x="12"/>
        <item x="0"/>
        <item x="7"/>
        <item m="1" x="83"/>
        <item x="14"/>
        <item x="23"/>
        <item x="39"/>
        <item x="72"/>
        <item x="42"/>
        <item x="4"/>
        <item x="38"/>
        <item x="71"/>
        <item x="78"/>
        <item x="36"/>
        <item t="default"/>
      </items>
    </pivotField>
    <pivotField axis="axisRow" showAll="0">
      <items count="6">
        <item x="1"/>
        <item x="3"/>
        <item x="2"/>
        <item x="0"/>
        <item h="1" x="4"/>
        <item t="default"/>
      </items>
    </pivotField>
    <pivotField showAll="0"/>
    <pivotField showAll="0"/>
    <pivotField showAll="0"/>
    <pivotField showAll="0"/>
    <pivotField dataField="1" showAll="0"/>
    <pivotField showAll="0" defaultSubtotal="0"/>
    <pivotField showAll="0" defaultSubtotal="0">
      <items count="14">
        <item h="1" x="0"/>
        <item x="1"/>
        <item x="2"/>
        <item x="3"/>
        <item x="4"/>
        <item x="5"/>
        <item x="6"/>
        <item x="7"/>
        <item x="8"/>
        <item x="9"/>
        <item x="10"/>
        <item x="11"/>
        <item x="12"/>
        <item x="13"/>
      </items>
    </pivotField>
  </pivotFields>
  <rowFields count="1">
    <field x="2"/>
  </rowFields>
  <rowItems count="5">
    <i>
      <x/>
    </i>
    <i>
      <x v="1"/>
    </i>
    <i>
      <x v="2"/>
    </i>
    <i>
      <x v="3"/>
    </i>
    <i t="grand">
      <x/>
    </i>
  </rowItems>
  <colItems count="1">
    <i/>
  </colItems>
  <dataFields count="1">
    <dataField name="Sum of Revenue" fld="7" baseField="0" baseItem="0"/>
  </dataFields>
  <formats count="6">
    <format dxfId="0">
      <pivotArea type="all" dataOnly="0" outline="0" fieldPosition="0"/>
    </format>
    <format dxfId="1">
      <pivotArea outline="0" collapsedLevelsAreSubtotals="1" fieldPosition="0"/>
    </format>
    <format dxfId="2">
      <pivotArea field="2" type="button" dataOnly="0" labelOnly="1" outline="0" axis="axisRow" fieldPosition="0"/>
    </format>
    <format dxfId="3">
      <pivotArea dataOnly="0" labelOnly="1" fieldPosition="0">
        <references count="1">
          <reference field="2" count="0"/>
        </references>
      </pivotArea>
    </format>
    <format dxfId="4">
      <pivotArea dataOnly="0" labelOnly="1" grandRow="1" outline="0" fieldPosition="0"/>
    </format>
    <format dxfId="5">
      <pivotArea dataOnly="0" labelOnly="1" outline="0" axis="axisValues" fieldPosition="0"/>
    </format>
  </formats>
  <chartFormats count="5">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2" count="1" selected="0">
            <x v="0"/>
          </reference>
        </references>
      </pivotArea>
    </chartFormat>
    <chartFormat chart="1" format="3">
      <pivotArea type="data" outline="0" fieldPosition="0">
        <references count="2">
          <reference field="4294967294" count="1" selected="0">
            <x v="0"/>
          </reference>
          <reference field="2" count="1" selected="0">
            <x v="1"/>
          </reference>
        </references>
      </pivotArea>
    </chartFormat>
    <chartFormat chart="1" format="4">
      <pivotArea type="data" outline="0" fieldPosition="0">
        <references count="2">
          <reference field="4294967294" count="1" selected="0">
            <x v="0"/>
          </reference>
          <reference field="2" count="1" selected="0">
            <x v="2"/>
          </reference>
        </references>
      </pivotArea>
    </chartFormat>
    <chartFormat chart="1" format="5">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02A60D2-3C7A-4849-8818-0AED875BA33A}" name="PivotTable11" cacheId="2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Product">
  <location ref="D22:E28" firstHeaderRow="1" firstDataRow="1" firstDataCol="1"/>
  <pivotFields count="10">
    <pivotField showAll="0"/>
    <pivotField showAll="0">
      <items count="86">
        <item x="47"/>
        <item x="41"/>
        <item m="1" x="84"/>
        <item x="76"/>
        <item x="19"/>
        <item x="27"/>
        <item x="52"/>
        <item m="1" x="80"/>
        <item x="49"/>
        <item x="51"/>
        <item x="50"/>
        <item x="34"/>
        <item x="63"/>
        <item x="77"/>
        <item x="56"/>
        <item x="6"/>
        <item x="58"/>
        <item x="44"/>
        <item x="28"/>
        <item x="26"/>
        <item x="32"/>
        <item x="5"/>
        <item x="45"/>
        <item m="1" x="81"/>
        <item x="55"/>
        <item x="33"/>
        <item x="37"/>
        <item x="74"/>
        <item x="64"/>
        <item x="65"/>
        <item x="43"/>
        <item x="10"/>
        <item x="57"/>
        <item x="3"/>
        <item x="11"/>
        <item x="62"/>
        <item x="40"/>
        <item x="13"/>
        <item x="20"/>
        <item x="15"/>
        <item x="2"/>
        <item x="60"/>
        <item x="24"/>
        <item x="48"/>
        <item m="1" x="82"/>
        <item x="68"/>
        <item x="75"/>
        <item x="54"/>
        <item x="9"/>
        <item x="73"/>
        <item x="66"/>
        <item x="46"/>
        <item x="53"/>
        <item m="1" x="79"/>
        <item x="59"/>
        <item x="21"/>
        <item x="35"/>
        <item x="61"/>
        <item x="29"/>
        <item x="22"/>
        <item x="70"/>
        <item x="1"/>
        <item x="67"/>
        <item x="31"/>
        <item x="30"/>
        <item x="17"/>
        <item x="25"/>
        <item x="18"/>
        <item x="16"/>
        <item x="69"/>
        <item x="8"/>
        <item x="12"/>
        <item x="0"/>
        <item x="7"/>
        <item m="1" x="83"/>
        <item x="14"/>
        <item x="23"/>
        <item x="39"/>
        <item x="72"/>
        <item x="42"/>
        <item x="4"/>
        <item x="38"/>
        <item x="71"/>
        <item x="78"/>
        <item x="36"/>
        <item t="default"/>
      </items>
    </pivotField>
    <pivotField showAll="0">
      <items count="6">
        <item x="1"/>
        <item x="3"/>
        <item x="2"/>
        <item x="0"/>
        <item h="1" x="4"/>
        <item t="default"/>
      </items>
    </pivotField>
    <pivotField showAll="0"/>
    <pivotField axis="axisRow" showAll="0">
      <items count="7">
        <item x="2"/>
        <item x="4"/>
        <item x="3"/>
        <item x="1"/>
        <item x="0"/>
        <item h="1" x="5"/>
        <item t="default"/>
      </items>
    </pivotField>
    <pivotField showAll="0"/>
    <pivotField showAll="0"/>
    <pivotField dataField="1" showAll="0"/>
    <pivotField showAll="0" defaultSubtotal="0"/>
    <pivotField showAll="0" defaultSubtotal="0">
      <items count="14">
        <item h="1" x="0"/>
        <item x="1"/>
        <item x="2"/>
        <item x="3"/>
        <item x="4"/>
        <item x="5"/>
        <item x="6"/>
        <item x="7"/>
        <item x="8"/>
        <item x="9"/>
        <item x="10"/>
        <item x="11"/>
        <item x="12"/>
        <item x="13"/>
      </items>
    </pivotField>
  </pivotFields>
  <rowFields count="1">
    <field x="4"/>
  </rowFields>
  <rowItems count="6">
    <i>
      <x/>
    </i>
    <i>
      <x v="1"/>
    </i>
    <i>
      <x v="2"/>
    </i>
    <i>
      <x v="3"/>
    </i>
    <i>
      <x v="4"/>
    </i>
    <i t="grand">
      <x/>
    </i>
  </rowItems>
  <colItems count="1">
    <i/>
  </colItems>
  <dataFields count="1">
    <dataField name="Sum of Revenue" fld="7" baseField="0" baseItem="0"/>
  </dataFields>
  <formats count="6">
    <format dxfId="12">
      <pivotArea type="all" dataOnly="0" outline="0" fieldPosition="0"/>
    </format>
    <format dxfId="13">
      <pivotArea outline="0" collapsedLevelsAreSubtotals="1" fieldPosition="0"/>
    </format>
    <format dxfId="14">
      <pivotArea field="4" type="button" dataOnly="0" labelOnly="1" outline="0" axis="axisRow" fieldPosition="0"/>
    </format>
    <format dxfId="15">
      <pivotArea dataOnly="0" labelOnly="1" fieldPosition="0">
        <references count="1">
          <reference field="4" count="0"/>
        </references>
      </pivotArea>
    </format>
    <format dxfId="16">
      <pivotArea dataOnly="0" labelOnly="1" grandRow="1" outline="0" fieldPosition="0"/>
    </format>
    <format dxfId="17">
      <pivotArea dataOnly="0" labelOnly="1" outline="0" axis="axisValues" fieldPosition="0"/>
    </format>
  </format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055946A-0AE6-4C46-A2A8-94EC5D4F61AA}" name="PivotTable10" cacheId="2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Month">
  <location ref="G13:H17" firstHeaderRow="1" firstDataRow="1" firstDataCol="1"/>
  <pivotFields count="10">
    <pivotField showAll="0"/>
    <pivotField showAll="0">
      <items count="86">
        <item x="47"/>
        <item x="41"/>
        <item m="1" x="84"/>
        <item x="76"/>
        <item x="19"/>
        <item x="27"/>
        <item x="52"/>
        <item m="1" x="80"/>
        <item x="49"/>
        <item x="51"/>
        <item x="50"/>
        <item x="34"/>
        <item x="63"/>
        <item x="77"/>
        <item x="56"/>
        <item x="6"/>
        <item x="58"/>
        <item x="44"/>
        <item x="28"/>
        <item x="26"/>
        <item x="32"/>
        <item x="5"/>
        <item m="1" x="81"/>
        <item x="55"/>
        <item x="33"/>
        <item x="37"/>
        <item x="74"/>
        <item x="64"/>
        <item x="43"/>
        <item x="10"/>
        <item x="57"/>
        <item x="3"/>
        <item x="11"/>
        <item x="62"/>
        <item x="40"/>
        <item x="13"/>
        <item x="20"/>
        <item x="15"/>
        <item x="2"/>
        <item x="60"/>
        <item x="48"/>
        <item m="1" x="82"/>
        <item x="68"/>
        <item x="75"/>
        <item x="54"/>
        <item x="9"/>
        <item x="73"/>
        <item x="66"/>
        <item x="46"/>
        <item x="53"/>
        <item m="1" x="79"/>
        <item x="59"/>
        <item x="21"/>
        <item x="35"/>
        <item x="61"/>
        <item x="29"/>
        <item x="70"/>
        <item x="1"/>
        <item x="67"/>
        <item x="31"/>
        <item x="30"/>
        <item x="17"/>
        <item x="25"/>
        <item x="18"/>
        <item x="16"/>
        <item x="69"/>
        <item x="8"/>
        <item x="12"/>
        <item x="0"/>
        <item x="7"/>
        <item m="1" x="83"/>
        <item x="14"/>
        <item x="23"/>
        <item x="39"/>
        <item x="72"/>
        <item x="42"/>
        <item x="4"/>
        <item x="38"/>
        <item x="71"/>
        <item x="78"/>
        <item x="65"/>
        <item x="22"/>
        <item x="45"/>
        <item x="24"/>
        <item x="36"/>
        <item t="default"/>
      </items>
    </pivotField>
    <pivotField showAll="0">
      <items count="6">
        <item x="1"/>
        <item x="3"/>
        <item x="2"/>
        <item x="0"/>
        <item h="1" x="4"/>
        <item t="default"/>
      </items>
    </pivotField>
    <pivotField showAll="0"/>
    <pivotField showAll="0"/>
    <pivotField showAll="0"/>
    <pivotField showAll="0"/>
    <pivotField dataField="1" showAll="0"/>
    <pivotField showAll="0">
      <items count="369">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x="367"/>
        <item x="0"/>
        <item t="default"/>
      </items>
    </pivotField>
    <pivotField axis="axisRow" showAll="0">
      <items count="15">
        <item h="1" sd="0" x="0"/>
        <item sd="0" x="1"/>
        <item sd="0" x="2"/>
        <item sd="0" x="3"/>
        <item sd="0" x="4"/>
        <item sd="0" x="5"/>
        <item sd="0" x="6"/>
        <item sd="0" x="7"/>
        <item sd="0" x="8"/>
        <item sd="0" x="9"/>
        <item sd="0" x="10"/>
        <item sd="0" x="11"/>
        <item sd="0" x="12"/>
        <item sd="0" x="13"/>
        <item t="default"/>
      </items>
    </pivotField>
  </pivotFields>
  <rowFields count="1">
    <field x="9"/>
  </rowFields>
  <rowItems count="4">
    <i>
      <x v="1"/>
    </i>
    <i>
      <x v="2"/>
    </i>
    <i>
      <x v="3"/>
    </i>
    <i t="grand">
      <x/>
    </i>
  </rowItems>
  <colItems count="1">
    <i/>
  </colItems>
  <dataFields count="1">
    <dataField name="Sum of Revenue" fld="7" baseField="0" baseItem="0"/>
  </dataFields>
  <formats count="6">
    <format dxfId="6">
      <pivotArea type="all" dataOnly="0" outline="0" fieldPosition="0"/>
    </format>
    <format dxfId="7">
      <pivotArea outline="0" collapsedLevelsAreSubtotals="1" fieldPosition="0"/>
    </format>
    <format dxfId="8">
      <pivotArea field="9" type="button" dataOnly="0" labelOnly="1" outline="0" axis="axisRow" fieldPosition="0"/>
    </format>
    <format dxfId="9">
      <pivotArea dataOnly="0" labelOnly="1" fieldPosition="0">
        <references count="1">
          <reference field="9" count="0"/>
        </references>
      </pivotArea>
    </format>
    <format dxfId="10">
      <pivotArea dataOnly="0" labelOnly="1" grandRow="1" outline="0" fieldPosition="0"/>
    </format>
    <format dxfId="11">
      <pivotArea dataOnly="0" labelOnly="1" outline="0" axis="axisValues" fieldPosition="0"/>
    </format>
  </format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CD9E499-C78C-1649-B613-3CBBC6EFA920}" sourceName="Region">
  <pivotTables>
    <pivotTable tabId="7" name="PivotTable10"/>
    <pivotTable tabId="7" name="PivotTable11"/>
    <pivotTable tabId="7" name="PivotTable13"/>
    <pivotTable tabId="7" name="PivotTable14"/>
  </pivotTables>
  <data>
    <tabular pivotCacheId="821017713">
      <items count="5">
        <i x="1" s="1"/>
        <i x="3" s="1"/>
        <i x="2" s="1"/>
        <i x="0" s="1"/>
        <i x="4"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EB6A9BD4-E2CD-6A46-AB5A-783E73A563FD}" sourceName="Months (Date )">
  <pivotTables>
    <pivotTable tabId="7" name="PivotTable10"/>
    <pivotTable tabId="7" name="PivotTable11"/>
    <pivotTable tabId="7" name="PivotTable13"/>
    <pivotTable tabId="7" name="PivotTable14"/>
  </pivotTables>
  <data>
    <tabular pivotCacheId="821017713">
      <items count="14">
        <i x="1" s="1"/>
        <i x="2" s="1"/>
        <i x="3" s="1"/>
        <i x="4" s="1" nd="1"/>
        <i x="5" s="1" nd="1"/>
        <i x="6" s="1" nd="1"/>
        <i x="7" s="1" nd="1"/>
        <i x="8" s="1" nd="1"/>
        <i x="9" s="1" nd="1"/>
        <i x="10" s="1" nd="1"/>
        <i x="11" s="1" nd="1"/>
        <i x="12" s="1" nd="1"/>
        <i x="0" nd="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09D0DEF2-87FE-7449-9992-8281EB492E05}" cache="Slicer_Region" caption="Region" rowHeight="251883"/>
  <slicer name="Region 2" xr10:uid="{4550CF3C-8CEA-384D-B9B6-DD1322679FFD}" cache="Slicer_Region" caption="Region" rowHeight="251883"/>
  <slicer name="Months (Date ) 1" xr10:uid="{5227DB91-5B21-5B4E-B235-713F063B4125}" cache="Slicer_Months__Date" caption="Months (Date )"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29DC93F5-0C66-D04A-99AA-12DDA2214B14}" cache="Slicer_Region" caption="Region" rowHeight="251883"/>
  <slicer name="Months " xr10:uid="{523998FA-045C-A24A-9C7A-5151311E7B25}" cache="Slicer_Months__Date" caption="Months " rowHeight="31089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4FA63A6-FCE0-864D-9D39-F99E566F9584}" name="SalesTable" displayName="SalesTable" ref="A1:I200" totalsRowShown="0" headerRowDxfId="25">
  <autoFilter ref="A1:I200" xr:uid="{74FA63A6-FCE0-864D-9D39-F99E566F9584}"/>
  <tableColumns count="9">
    <tableColumn id="1" xr3:uid="{0679244E-429D-254E-B815-7A98E1829980}" name="Order id">
      <calculatedColumnFormula>1000+ROW()-1</calculatedColumnFormula>
    </tableColumn>
    <tableColumn id="2" xr3:uid="{48AC5B14-484D-A84E-83EC-8EBF65127043}" name="Date " dataDxfId="24">
      <calculatedColumnFormula>DATE(2025,RANDBETWEEN(1,3),RANDBETWEEN(1,28))</calculatedColumnFormula>
    </tableColumn>
    <tableColumn id="3" xr3:uid="{C2DCE1F0-D556-B344-BE67-B63F23C9D87F}" name="Region">
      <calculatedColumnFormula>CHOOSE(RANDBETWEEN(1,4),"North","South","East","West")</calculatedColumnFormula>
    </tableColumn>
    <tableColumn id="4" xr3:uid="{F57B2E5E-9C2F-844A-93A9-7015492B03A7}" name="Salesperson">
      <calculatedColumnFormula>CHOOSE(RANDBETWEEN(1,5),"Arun","Priya","Rahul","Meena","Kiran")</calculatedColumnFormula>
    </tableColumn>
    <tableColumn id="5" xr3:uid="{5FD941D7-6BD7-0D45-8642-4AF91A949955}" name="Product">
      <calculatedColumnFormula>CHOOSE(RANDBETWEEN(1,5),"Laptop","Mouse","Keyboard","Monitor","Printer")</calculatedColumnFormula>
    </tableColumn>
    <tableColumn id="6" xr3:uid="{1D9A83FA-FED6-064A-8E57-AEEFA5D5F25B}" name="Quantity">
      <calculatedColumnFormula>RANDBETWEEN(1,10)</calculatedColumnFormula>
    </tableColumn>
    <tableColumn id="7" xr3:uid="{A47A9A47-3599-4146-9630-02F2145AB79B}" name="Unit Price">
      <calculatedColumnFormula>CHOOSE(RANDBETWEEN(1,5),50000,500,1500,12000,8000)</calculatedColumnFormula>
    </tableColumn>
    <tableColumn id="8" xr3:uid="{7F48350F-1421-1E42-9625-B7F1FC46D227}" name="Revenue">
      <calculatedColumnFormula>F2*G2</calculatedColumnFormula>
    </tableColumn>
    <tableColumn id="9" xr3:uid="{F18D1200-A315-5741-8A4B-DBCF9B198EE9}" name="Column1"/>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image" Target="../media/image1.jpeg"/><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2E6D6-48C5-DC42-A5AA-450507230150}">
  <dimension ref="A1:I200"/>
  <sheetViews>
    <sheetView topLeftCell="A70" zoomScale="165" zoomScaleNormal="100" workbookViewId="0">
      <selection activeCell="C2" sqref="C2:C200"/>
    </sheetView>
  </sheetViews>
  <sheetFormatPr baseColWidth="10" defaultColWidth="0" defaultRowHeight="16" zeroHeight="1" x14ac:dyDescent="0.2"/>
  <cols>
    <col min="1" max="1" width="12" customWidth="1"/>
    <col min="2" max="2" width="8.6640625" customWidth="1"/>
    <col min="3" max="3" width="10.83203125" customWidth="1"/>
    <col min="4" max="4" width="15.33203125" customWidth="1"/>
    <col min="5" max="5" width="11.6640625" customWidth="1"/>
    <col min="6" max="6" width="12.5" customWidth="1"/>
    <col min="7" max="7" width="13.6640625" customWidth="1"/>
    <col min="8" max="8" width="12.83203125" customWidth="1"/>
    <col min="9" max="16384" width="10.83203125" hidden="1"/>
  </cols>
  <sheetData>
    <row r="1" spans="1:9" ht="20" x14ac:dyDescent="0.25">
      <c r="A1" s="2" t="s">
        <v>0</v>
      </c>
      <c r="B1" t="s">
        <v>1</v>
      </c>
      <c r="C1" s="3" t="s">
        <v>2</v>
      </c>
      <c r="D1" s="4" t="s">
        <v>3</v>
      </c>
      <c r="E1" s="3" t="s">
        <v>5</v>
      </c>
      <c r="F1" s="3" t="s">
        <v>4</v>
      </c>
      <c r="G1" s="3" t="s">
        <v>6</v>
      </c>
      <c r="H1" s="3" t="s">
        <v>7</v>
      </c>
      <c r="I1" s="3" t="s">
        <v>25</v>
      </c>
    </row>
    <row r="2" spans="1:9" x14ac:dyDescent="0.2">
      <c r="A2">
        <f>1000+ROW()-1</f>
        <v>1001</v>
      </c>
      <c r="B2" s="1">
        <f t="shared" ref="B2:B33" ca="1" si="0">DATE(2025,RANDBETWEEN(1,3),RANDBETWEEN(1,28))</f>
        <v>45726</v>
      </c>
      <c r="C2" t="str">
        <f ca="1">CHOOSE(RANDBETWEEN(1,4),"North","South","East","West")</f>
        <v>North</v>
      </c>
      <c r="D2" t="str">
        <f ca="1">CHOOSE(RANDBETWEEN(1,5),"Arun","Priya","Rahul","Meena","Kiran")</f>
        <v>Rahul</v>
      </c>
      <c r="E2" t="str">
        <f ca="1">CHOOSE(RANDBETWEEN(1,5),"Laptop","Mouse","Keyboard","Monitor","Printer")</f>
        <v>Laptop</v>
      </c>
      <c r="F2">
        <f ca="1">RANDBETWEEN(1,10)</f>
        <v>9</v>
      </c>
      <c r="G2">
        <f ca="1">CHOOSE(RANDBETWEEN(1,5),50000,500,1500,12000,8000)</f>
        <v>1500</v>
      </c>
      <c r="H2">
        <f ca="1">F2*G2</f>
        <v>13500</v>
      </c>
    </row>
    <row r="3" spans="1:9" x14ac:dyDescent="0.2">
      <c r="A3">
        <f t="shared" ref="A3:A66" si="1">1000+ROW()-1</f>
        <v>1002</v>
      </c>
      <c r="B3" s="1">
        <f t="shared" ca="1" si="0"/>
        <v>45682</v>
      </c>
      <c r="C3" t="str">
        <f t="shared" ref="C3:C66" ca="1" si="2">CHOOSE(RANDBETWEEN(1,4),"North","South","East","West")</f>
        <v>North</v>
      </c>
      <c r="D3" t="str">
        <f t="shared" ref="D3:D66" ca="1" si="3">CHOOSE(RANDBETWEEN(1,5),"Arun","Priya","Rahul","Meena","Kiran")</f>
        <v>Rahul</v>
      </c>
      <c r="E3" t="str">
        <f t="shared" ref="E3:E66" ca="1" si="4">CHOOSE(RANDBETWEEN(1,5),"Laptop","Mouse","Keyboard","Monitor","Printer")</f>
        <v>Monitor</v>
      </c>
      <c r="F3">
        <f t="shared" ref="F3:F66" ca="1" si="5">RANDBETWEEN(1,10)</f>
        <v>7</v>
      </c>
      <c r="G3">
        <f t="shared" ref="G3:G66" ca="1" si="6">CHOOSE(RANDBETWEEN(1,5),50000,500,1500,12000,8000)</f>
        <v>12000</v>
      </c>
      <c r="H3">
        <f t="shared" ref="H3:H66" ca="1" si="7">F3*G3</f>
        <v>84000</v>
      </c>
    </row>
    <row r="4" spans="1:9" x14ac:dyDescent="0.2">
      <c r="A4">
        <f t="shared" si="1"/>
        <v>1003</v>
      </c>
      <c r="B4" s="1">
        <f t="shared" ca="1" si="0"/>
        <v>45673</v>
      </c>
      <c r="C4" t="str">
        <f t="shared" ca="1" si="2"/>
        <v>North</v>
      </c>
      <c r="D4" t="str">
        <f t="shared" ca="1" si="3"/>
        <v>Kiran</v>
      </c>
      <c r="E4" t="str">
        <f t="shared" ca="1" si="4"/>
        <v>Monitor</v>
      </c>
      <c r="F4">
        <f t="shared" ca="1" si="5"/>
        <v>4</v>
      </c>
      <c r="G4">
        <f t="shared" ca="1" si="6"/>
        <v>1500</v>
      </c>
      <c r="H4">
        <f t="shared" ca="1" si="7"/>
        <v>6000</v>
      </c>
    </row>
    <row r="5" spans="1:9" x14ac:dyDescent="0.2">
      <c r="A5">
        <f t="shared" si="1"/>
        <v>1004</v>
      </c>
      <c r="B5" s="1">
        <f t="shared" ca="1" si="0"/>
        <v>45733</v>
      </c>
      <c r="C5" t="str">
        <f t="shared" ca="1" si="2"/>
        <v>West</v>
      </c>
      <c r="D5" t="str">
        <f t="shared" ca="1" si="3"/>
        <v>Priya</v>
      </c>
      <c r="E5" t="str">
        <f t="shared" ca="1" si="4"/>
        <v>Mouse</v>
      </c>
      <c r="F5">
        <f t="shared" ca="1" si="5"/>
        <v>1</v>
      </c>
      <c r="G5">
        <f t="shared" ca="1" si="6"/>
        <v>12000</v>
      </c>
      <c r="H5">
        <f t="shared" ca="1" si="7"/>
        <v>12000</v>
      </c>
    </row>
    <row r="6" spans="1:9" x14ac:dyDescent="0.2">
      <c r="A6">
        <f t="shared" si="1"/>
        <v>1005</v>
      </c>
      <c r="B6" s="1">
        <f t="shared" ca="1" si="0"/>
        <v>45712</v>
      </c>
      <c r="C6" t="str">
        <f t="shared" ca="1" si="2"/>
        <v>North</v>
      </c>
      <c r="D6" t="str">
        <f t="shared" ca="1" si="3"/>
        <v>Rahul</v>
      </c>
      <c r="E6" t="str">
        <f t="shared" ca="1" si="4"/>
        <v>Keyboard</v>
      </c>
      <c r="F6">
        <f t="shared" ca="1" si="5"/>
        <v>9</v>
      </c>
      <c r="G6">
        <f t="shared" ca="1" si="6"/>
        <v>1500</v>
      </c>
      <c r="H6">
        <f t="shared" ca="1" si="7"/>
        <v>13500</v>
      </c>
    </row>
    <row r="7" spans="1:9" x14ac:dyDescent="0.2">
      <c r="A7">
        <f t="shared" si="1"/>
        <v>1006</v>
      </c>
      <c r="B7" s="1">
        <f t="shared" ca="1" si="0"/>
        <v>45711</v>
      </c>
      <c r="C7" t="str">
        <f t="shared" ca="1" si="2"/>
        <v>East</v>
      </c>
      <c r="D7" t="str">
        <f t="shared" ca="1" si="3"/>
        <v>Priya</v>
      </c>
      <c r="E7" t="str">
        <f t="shared" ca="1" si="4"/>
        <v>Mouse</v>
      </c>
      <c r="F7">
        <f t="shared" ca="1" si="5"/>
        <v>2</v>
      </c>
      <c r="G7">
        <f t="shared" ca="1" si="6"/>
        <v>500</v>
      </c>
      <c r="H7">
        <f t="shared" ca="1" si="7"/>
        <v>1000</v>
      </c>
    </row>
    <row r="8" spans="1:9" x14ac:dyDescent="0.2">
      <c r="A8">
        <f t="shared" si="1"/>
        <v>1007</v>
      </c>
      <c r="B8" s="1">
        <f t="shared" ca="1" si="0"/>
        <v>45739</v>
      </c>
      <c r="C8" t="str">
        <f t="shared" ca="1" si="2"/>
        <v>East</v>
      </c>
      <c r="D8" t="str">
        <f t="shared" ca="1" si="3"/>
        <v>Kiran</v>
      </c>
      <c r="E8" t="str">
        <f t="shared" ca="1" si="4"/>
        <v>Laptop</v>
      </c>
      <c r="F8">
        <f t="shared" ca="1" si="5"/>
        <v>3</v>
      </c>
      <c r="G8">
        <f t="shared" ca="1" si="6"/>
        <v>12000</v>
      </c>
      <c r="H8">
        <f t="shared" ca="1" si="7"/>
        <v>36000</v>
      </c>
    </row>
    <row r="9" spans="1:9" x14ac:dyDescent="0.2">
      <c r="A9">
        <f t="shared" si="1"/>
        <v>1008</v>
      </c>
      <c r="B9" s="1">
        <f t="shared" ca="1" si="0"/>
        <v>45706</v>
      </c>
      <c r="C9" t="str">
        <f t="shared" ca="1" si="2"/>
        <v>West</v>
      </c>
      <c r="D9" t="str">
        <f t="shared" ca="1" si="3"/>
        <v>Meena</v>
      </c>
      <c r="E9" t="str">
        <f t="shared" ca="1" si="4"/>
        <v>Monitor</v>
      </c>
      <c r="F9">
        <f t="shared" ca="1" si="5"/>
        <v>10</v>
      </c>
      <c r="G9">
        <f t="shared" ca="1" si="6"/>
        <v>8000</v>
      </c>
      <c r="H9">
        <f t="shared" ca="1" si="7"/>
        <v>80000</v>
      </c>
    </row>
    <row r="10" spans="1:9" x14ac:dyDescent="0.2">
      <c r="A10">
        <f t="shared" si="1"/>
        <v>1009</v>
      </c>
      <c r="B10" s="1">
        <f t="shared" ca="1" si="0"/>
        <v>45705</v>
      </c>
      <c r="C10" t="str">
        <f t="shared" ca="1" si="2"/>
        <v>South</v>
      </c>
      <c r="D10" t="str">
        <f t="shared" ca="1" si="3"/>
        <v>Kiran</v>
      </c>
      <c r="E10" t="str">
        <f t="shared" ca="1" si="4"/>
        <v>Keyboard</v>
      </c>
      <c r="F10">
        <f t="shared" ca="1" si="5"/>
        <v>9</v>
      </c>
      <c r="G10">
        <f t="shared" ca="1" si="6"/>
        <v>8000</v>
      </c>
      <c r="H10">
        <f t="shared" ca="1" si="7"/>
        <v>72000</v>
      </c>
    </row>
    <row r="11" spans="1:9" x14ac:dyDescent="0.2">
      <c r="A11">
        <f t="shared" si="1"/>
        <v>1010</v>
      </c>
      <c r="B11" s="1">
        <f t="shared" ca="1" si="0"/>
        <v>45725</v>
      </c>
      <c r="C11" t="str">
        <f t="shared" ca="1" si="2"/>
        <v>South</v>
      </c>
      <c r="D11" t="str">
        <f t="shared" ca="1" si="3"/>
        <v>Priya</v>
      </c>
      <c r="E11" t="str">
        <f t="shared" ca="1" si="4"/>
        <v>Laptop</v>
      </c>
      <c r="F11">
        <f t="shared" ca="1" si="5"/>
        <v>2</v>
      </c>
      <c r="G11">
        <f t="shared" ca="1" si="6"/>
        <v>8000</v>
      </c>
      <c r="H11">
        <f t="shared" ca="1" si="7"/>
        <v>16000</v>
      </c>
    </row>
    <row r="12" spans="1:9" x14ac:dyDescent="0.2">
      <c r="A12">
        <f t="shared" si="1"/>
        <v>1011</v>
      </c>
      <c r="B12" s="1">
        <f t="shared" ca="1" si="0"/>
        <v>45735</v>
      </c>
      <c r="C12" t="str">
        <f t="shared" ca="1" si="2"/>
        <v>East</v>
      </c>
      <c r="D12" t="str">
        <f t="shared" ca="1" si="3"/>
        <v>Arun</v>
      </c>
      <c r="E12" t="str">
        <f t="shared" ca="1" si="4"/>
        <v>Printer</v>
      </c>
      <c r="F12">
        <f t="shared" ca="1" si="5"/>
        <v>3</v>
      </c>
      <c r="G12">
        <f t="shared" ca="1" si="6"/>
        <v>50000</v>
      </c>
      <c r="H12">
        <f t="shared" ca="1" si="7"/>
        <v>150000</v>
      </c>
    </row>
    <row r="13" spans="1:9" x14ac:dyDescent="0.2">
      <c r="A13">
        <f t="shared" si="1"/>
        <v>1012</v>
      </c>
      <c r="B13" s="1">
        <f t="shared" ca="1" si="0"/>
        <v>45681</v>
      </c>
      <c r="C13" t="str">
        <f t="shared" ca="1" si="2"/>
        <v>West</v>
      </c>
      <c r="D13" t="str">
        <f t="shared" ca="1" si="3"/>
        <v>Arun</v>
      </c>
      <c r="E13" t="str">
        <f t="shared" ca="1" si="4"/>
        <v>Mouse</v>
      </c>
      <c r="F13">
        <f t="shared" ca="1" si="5"/>
        <v>6</v>
      </c>
      <c r="G13">
        <f t="shared" ca="1" si="6"/>
        <v>8000</v>
      </c>
      <c r="H13">
        <f t="shared" ca="1" si="7"/>
        <v>48000</v>
      </c>
    </row>
    <row r="14" spans="1:9" x14ac:dyDescent="0.2">
      <c r="A14">
        <f t="shared" si="1"/>
        <v>1013</v>
      </c>
      <c r="B14" s="1">
        <f t="shared" ca="1" si="0"/>
        <v>45707</v>
      </c>
      <c r="C14" t="str">
        <f ca="1">CHOOSE(RANDBETWEEN(1,4),"North","South","East","West")</f>
        <v>South</v>
      </c>
      <c r="D14" t="str">
        <f t="shared" ca="1" si="3"/>
        <v>Meena</v>
      </c>
      <c r="E14" t="str">
        <f t="shared" ca="1" si="4"/>
        <v>Laptop</v>
      </c>
      <c r="F14">
        <f t="shared" ca="1" si="5"/>
        <v>1</v>
      </c>
      <c r="G14">
        <f t="shared" ca="1" si="6"/>
        <v>12000</v>
      </c>
      <c r="H14">
        <f t="shared" ca="1" si="7"/>
        <v>12000</v>
      </c>
    </row>
    <row r="15" spans="1:9" x14ac:dyDescent="0.2">
      <c r="A15">
        <f t="shared" si="1"/>
        <v>1014</v>
      </c>
      <c r="B15" s="1">
        <f t="shared" ca="1" si="0"/>
        <v>45664</v>
      </c>
      <c r="C15" t="str">
        <f t="shared" ca="1" si="2"/>
        <v>East</v>
      </c>
      <c r="D15" t="str">
        <f t="shared" ca="1" si="3"/>
        <v>Kiran</v>
      </c>
      <c r="E15" t="str">
        <f t="shared" ca="1" si="4"/>
        <v>Laptop</v>
      </c>
      <c r="F15">
        <f t="shared" ca="1" si="5"/>
        <v>10</v>
      </c>
      <c r="G15">
        <f t="shared" ca="1" si="6"/>
        <v>12000</v>
      </c>
      <c r="H15">
        <f t="shared" ca="1" si="7"/>
        <v>120000</v>
      </c>
    </row>
    <row r="16" spans="1:9" x14ac:dyDescent="0.2">
      <c r="A16">
        <f t="shared" si="1"/>
        <v>1015</v>
      </c>
      <c r="B16" s="1">
        <f t="shared" ca="1" si="0"/>
        <v>45673</v>
      </c>
      <c r="C16" t="str">
        <f t="shared" ca="1" si="2"/>
        <v>West</v>
      </c>
      <c r="D16" t="str">
        <f t="shared" ca="1" si="3"/>
        <v>Rahul</v>
      </c>
      <c r="E16" t="str">
        <f t="shared" ca="1" si="4"/>
        <v>Mouse</v>
      </c>
      <c r="F16">
        <f t="shared" ca="1" si="5"/>
        <v>5</v>
      </c>
      <c r="G16">
        <f t="shared" ca="1" si="6"/>
        <v>12000</v>
      </c>
      <c r="H16">
        <f t="shared" ca="1" si="7"/>
        <v>60000</v>
      </c>
    </row>
    <row r="17" spans="1:8" x14ac:dyDescent="0.2">
      <c r="A17">
        <f t="shared" si="1"/>
        <v>1016</v>
      </c>
      <c r="B17" s="1">
        <f t="shared" ca="1" si="0"/>
        <v>45700</v>
      </c>
      <c r="C17" t="str">
        <f t="shared" ca="1" si="2"/>
        <v>North</v>
      </c>
      <c r="D17" t="str">
        <f t="shared" ca="1" si="3"/>
        <v>Arun</v>
      </c>
      <c r="E17" t="str">
        <f t="shared" ca="1" si="4"/>
        <v>Keyboard</v>
      </c>
      <c r="F17">
        <f t="shared" ca="1" si="5"/>
        <v>1</v>
      </c>
      <c r="G17">
        <f t="shared" ca="1" si="6"/>
        <v>1500</v>
      </c>
      <c r="H17">
        <f t="shared" ca="1" si="7"/>
        <v>1500</v>
      </c>
    </row>
    <row r="18" spans="1:8" x14ac:dyDescent="0.2">
      <c r="A18">
        <f t="shared" si="1"/>
        <v>1017</v>
      </c>
      <c r="B18" s="1">
        <f t="shared" ca="1" si="0"/>
        <v>45704</v>
      </c>
      <c r="C18" t="str">
        <f t="shared" ca="1" si="2"/>
        <v>South</v>
      </c>
      <c r="D18" t="str">
        <f t="shared" ca="1" si="3"/>
        <v>Kiran</v>
      </c>
      <c r="E18" t="str">
        <f t="shared" ca="1" si="4"/>
        <v>Keyboard</v>
      </c>
      <c r="F18">
        <f t="shared" ca="1" si="5"/>
        <v>9</v>
      </c>
      <c r="G18">
        <f t="shared" ca="1" si="6"/>
        <v>8000</v>
      </c>
      <c r="H18">
        <f t="shared" ca="1" si="7"/>
        <v>72000</v>
      </c>
    </row>
    <row r="19" spans="1:8" x14ac:dyDescent="0.2">
      <c r="A19">
        <f t="shared" si="1"/>
        <v>1018</v>
      </c>
      <c r="B19" s="1">
        <f t="shared" ca="1" si="0"/>
        <v>45661</v>
      </c>
      <c r="C19" t="str">
        <f t="shared" ca="1" si="2"/>
        <v>South</v>
      </c>
      <c r="D19" t="str">
        <f t="shared" ca="1" si="3"/>
        <v>Rahul</v>
      </c>
      <c r="E19" t="str">
        <f t="shared" ca="1" si="4"/>
        <v>Printer</v>
      </c>
      <c r="F19">
        <f t="shared" ca="1" si="5"/>
        <v>10</v>
      </c>
      <c r="G19">
        <f t="shared" ca="1" si="6"/>
        <v>500</v>
      </c>
      <c r="H19">
        <f t="shared" ca="1" si="7"/>
        <v>5000</v>
      </c>
    </row>
    <row r="20" spans="1:8" x14ac:dyDescent="0.2">
      <c r="A20">
        <f t="shared" si="1"/>
        <v>1019</v>
      </c>
      <c r="B20" s="1">
        <f t="shared" ca="1" si="0"/>
        <v>45736</v>
      </c>
      <c r="C20" t="str">
        <f t="shared" ca="1" si="2"/>
        <v>West</v>
      </c>
      <c r="D20" t="str">
        <f t="shared" ca="1" si="3"/>
        <v>Priya</v>
      </c>
      <c r="E20" t="str">
        <f t="shared" ca="1" si="4"/>
        <v>Printer</v>
      </c>
      <c r="F20">
        <f t="shared" ca="1" si="5"/>
        <v>6</v>
      </c>
      <c r="G20">
        <f t="shared" ca="1" si="6"/>
        <v>50000</v>
      </c>
      <c r="H20">
        <f t="shared" ca="1" si="7"/>
        <v>300000</v>
      </c>
    </row>
    <row r="21" spans="1:8" x14ac:dyDescent="0.2">
      <c r="A21">
        <f t="shared" si="1"/>
        <v>1020</v>
      </c>
      <c r="B21" s="1">
        <f t="shared" ca="1" si="0"/>
        <v>45730</v>
      </c>
      <c r="C21" t="str">
        <f t="shared" ca="1" si="2"/>
        <v>East</v>
      </c>
      <c r="D21" t="str">
        <f t="shared" ca="1" si="3"/>
        <v>Rahul</v>
      </c>
      <c r="E21" t="str">
        <f t="shared" ca="1" si="4"/>
        <v>Mouse</v>
      </c>
      <c r="F21">
        <f t="shared" ca="1" si="5"/>
        <v>8</v>
      </c>
      <c r="G21">
        <f t="shared" ca="1" si="6"/>
        <v>50000</v>
      </c>
      <c r="H21">
        <f t="shared" ca="1" si="7"/>
        <v>400000</v>
      </c>
    </row>
    <row r="22" spans="1:8" x14ac:dyDescent="0.2">
      <c r="A22">
        <f t="shared" si="1"/>
        <v>1021</v>
      </c>
      <c r="B22" s="1">
        <f t="shared" ca="1" si="0"/>
        <v>45728</v>
      </c>
      <c r="C22" t="str">
        <f t="shared" ca="1" si="2"/>
        <v>North</v>
      </c>
      <c r="D22" t="str">
        <f t="shared" ca="1" si="3"/>
        <v>Meena</v>
      </c>
      <c r="E22" t="str">
        <f t="shared" ca="1" si="4"/>
        <v>Printer</v>
      </c>
      <c r="F22">
        <f t="shared" ca="1" si="5"/>
        <v>5</v>
      </c>
      <c r="G22">
        <f t="shared" ca="1" si="6"/>
        <v>500</v>
      </c>
      <c r="H22">
        <f t="shared" ca="1" si="7"/>
        <v>2500</v>
      </c>
    </row>
    <row r="23" spans="1:8" x14ac:dyDescent="0.2">
      <c r="A23">
        <f t="shared" si="1"/>
        <v>1022</v>
      </c>
      <c r="B23" s="1">
        <f t="shared" ca="1" si="0"/>
        <v>45685</v>
      </c>
      <c r="C23" t="str">
        <f t="shared" ca="1" si="2"/>
        <v>West</v>
      </c>
      <c r="D23" t="str">
        <f t="shared" ca="1" si="3"/>
        <v>Priya</v>
      </c>
      <c r="E23" t="str">
        <f t="shared" ca="1" si="4"/>
        <v>Laptop</v>
      </c>
      <c r="F23">
        <f t="shared" ca="1" si="5"/>
        <v>7</v>
      </c>
      <c r="G23">
        <f t="shared" ca="1" si="6"/>
        <v>1500</v>
      </c>
      <c r="H23">
        <f t="shared" ca="1" si="7"/>
        <v>10500</v>
      </c>
    </row>
    <row r="24" spans="1:8" x14ac:dyDescent="0.2">
      <c r="A24">
        <f t="shared" si="1"/>
        <v>1023</v>
      </c>
      <c r="B24" s="1">
        <f t="shared" ca="1" si="0"/>
        <v>45691</v>
      </c>
      <c r="C24" t="str">
        <f t="shared" ca="1" si="2"/>
        <v>East</v>
      </c>
      <c r="D24" t="str">
        <f t="shared" ca="1" si="3"/>
        <v>Meena</v>
      </c>
      <c r="E24" t="str">
        <f t="shared" ca="1" si="4"/>
        <v>Monitor</v>
      </c>
      <c r="F24">
        <f t="shared" ca="1" si="5"/>
        <v>3</v>
      </c>
      <c r="G24">
        <f t="shared" ca="1" si="6"/>
        <v>50000</v>
      </c>
      <c r="H24">
        <f t="shared" ca="1" si="7"/>
        <v>150000</v>
      </c>
    </row>
    <row r="25" spans="1:8" x14ac:dyDescent="0.2">
      <c r="A25">
        <f t="shared" si="1"/>
        <v>1024</v>
      </c>
      <c r="B25" s="1">
        <f t="shared" ca="1" si="0"/>
        <v>45740</v>
      </c>
      <c r="C25" t="str">
        <f t="shared" ca="1" si="2"/>
        <v>South</v>
      </c>
      <c r="D25" t="str">
        <f t="shared" ca="1" si="3"/>
        <v>Kiran</v>
      </c>
      <c r="E25" t="str">
        <f t="shared" ca="1" si="4"/>
        <v>Printer</v>
      </c>
      <c r="F25">
        <f t="shared" ca="1" si="5"/>
        <v>5</v>
      </c>
      <c r="G25">
        <f t="shared" ca="1" si="6"/>
        <v>8000</v>
      </c>
      <c r="H25">
        <f t="shared" ca="1" si="7"/>
        <v>40000</v>
      </c>
    </row>
    <row r="26" spans="1:8" x14ac:dyDescent="0.2">
      <c r="A26">
        <f t="shared" si="1"/>
        <v>1025</v>
      </c>
      <c r="B26" s="1">
        <f t="shared" ca="1" si="0"/>
        <v>45744</v>
      </c>
      <c r="C26" t="str">
        <f t="shared" ca="1" si="2"/>
        <v>North</v>
      </c>
      <c r="D26" t="str">
        <f t="shared" ca="1" si="3"/>
        <v>Arun</v>
      </c>
      <c r="E26" t="str">
        <f t="shared" ca="1" si="4"/>
        <v>Laptop</v>
      </c>
      <c r="F26">
        <f t="shared" ca="1" si="5"/>
        <v>9</v>
      </c>
      <c r="G26">
        <f t="shared" ca="1" si="6"/>
        <v>1500</v>
      </c>
      <c r="H26">
        <f t="shared" ca="1" si="7"/>
        <v>13500</v>
      </c>
    </row>
    <row r="27" spans="1:8" x14ac:dyDescent="0.2">
      <c r="A27">
        <f t="shared" si="1"/>
        <v>1026</v>
      </c>
      <c r="B27" s="1">
        <f t="shared" ca="1" si="0"/>
        <v>45714</v>
      </c>
      <c r="C27" t="str">
        <f t="shared" ca="1" si="2"/>
        <v>East</v>
      </c>
      <c r="D27" t="str">
        <f t="shared" ca="1" si="3"/>
        <v>Kiran</v>
      </c>
      <c r="E27" t="str">
        <f t="shared" ca="1" si="4"/>
        <v>Monitor</v>
      </c>
      <c r="F27">
        <f t="shared" ca="1" si="5"/>
        <v>8</v>
      </c>
      <c r="G27">
        <f t="shared" ca="1" si="6"/>
        <v>8000</v>
      </c>
      <c r="H27">
        <f t="shared" ca="1" si="7"/>
        <v>64000</v>
      </c>
    </row>
    <row r="28" spans="1:8" x14ac:dyDescent="0.2">
      <c r="A28">
        <f t="shared" si="1"/>
        <v>1027</v>
      </c>
      <c r="B28" s="1">
        <f t="shared" ca="1" si="0"/>
        <v>45662</v>
      </c>
      <c r="C28" t="str">
        <f t="shared" ca="1" si="2"/>
        <v>South</v>
      </c>
      <c r="D28" t="str">
        <f t="shared" ca="1" si="3"/>
        <v>Rahul</v>
      </c>
      <c r="E28" t="str">
        <f t="shared" ca="1" si="4"/>
        <v>Monitor</v>
      </c>
      <c r="F28">
        <f t="shared" ca="1" si="5"/>
        <v>2</v>
      </c>
      <c r="G28">
        <f t="shared" ca="1" si="6"/>
        <v>8000</v>
      </c>
      <c r="H28">
        <f t="shared" ca="1" si="7"/>
        <v>16000</v>
      </c>
    </row>
    <row r="29" spans="1:8" x14ac:dyDescent="0.2">
      <c r="A29">
        <f t="shared" si="1"/>
        <v>1028</v>
      </c>
      <c r="B29" s="1">
        <f t="shared" ca="1" si="0"/>
        <v>45679</v>
      </c>
      <c r="C29" t="str">
        <f t="shared" ca="1" si="2"/>
        <v>North</v>
      </c>
      <c r="D29" t="str">
        <f t="shared" ca="1" si="3"/>
        <v>Meena</v>
      </c>
      <c r="E29" t="str">
        <f t="shared" ca="1" si="4"/>
        <v>Printer</v>
      </c>
      <c r="F29">
        <f t="shared" ca="1" si="5"/>
        <v>6</v>
      </c>
      <c r="G29">
        <f t="shared" ca="1" si="6"/>
        <v>12000</v>
      </c>
      <c r="H29">
        <f t="shared" ca="1" si="7"/>
        <v>72000</v>
      </c>
    </row>
    <row r="30" spans="1:8" x14ac:dyDescent="0.2">
      <c r="A30">
        <f t="shared" si="1"/>
        <v>1029</v>
      </c>
      <c r="B30" s="1">
        <f t="shared" ca="1" si="0"/>
        <v>45719</v>
      </c>
      <c r="C30" t="str">
        <f t="shared" ca="1" si="2"/>
        <v>West</v>
      </c>
      <c r="D30" t="str">
        <f t="shared" ca="1" si="3"/>
        <v>Priya</v>
      </c>
      <c r="E30" t="str">
        <f t="shared" ca="1" si="4"/>
        <v>Mouse</v>
      </c>
      <c r="F30">
        <f t="shared" ca="1" si="5"/>
        <v>8</v>
      </c>
      <c r="G30">
        <f t="shared" ca="1" si="6"/>
        <v>1500</v>
      </c>
      <c r="H30">
        <f t="shared" ca="1" si="7"/>
        <v>12000</v>
      </c>
    </row>
    <row r="31" spans="1:8" x14ac:dyDescent="0.2">
      <c r="A31">
        <f t="shared" si="1"/>
        <v>1030</v>
      </c>
      <c r="B31" s="1">
        <f t="shared" ca="1" si="0"/>
        <v>45732</v>
      </c>
      <c r="C31" t="str">
        <f t="shared" ca="1" si="2"/>
        <v>East</v>
      </c>
      <c r="D31" t="str">
        <f t="shared" ca="1" si="3"/>
        <v>Rahul</v>
      </c>
      <c r="E31" t="str">
        <f t="shared" ca="1" si="4"/>
        <v>Laptop</v>
      </c>
      <c r="F31">
        <f t="shared" ca="1" si="5"/>
        <v>1</v>
      </c>
      <c r="G31">
        <f t="shared" ca="1" si="6"/>
        <v>500</v>
      </c>
      <c r="H31">
        <f t="shared" ca="1" si="7"/>
        <v>500</v>
      </c>
    </row>
    <row r="32" spans="1:8" x14ac:dyDescent="0.2">
      <c r="A32">
        <f t="shared" si="1"/>
        <v>1031</v>
      </c>
      <c r="B32" s="1">
        <f t="shared" ca="1" si="0"/>
        <v>45701</v>
      </c>
      <c r="C32" t="str">
        <f t="shared" ca="1" si="2"/>
        <v>South</v>
      </c>
      <c r="D32" t="str">
        <f t="shared" ca="1" si="3"/>
        <v>Rahul</v>
      </c>
      <c r="E32" t="str">
        <f t="shared" ca="1" si="4"/>
        <v>Monitor</v>
      </c>
      <c r="F32">
        <f t="shared" ca="1" si="5"/>
        <v>2</v>
      </c>
      <c r="G32">
        <f t="shared" ca="1" si="6"/>
        <v>8000</v>
      </c>
      <c r="H32">
        <f t="shared" ca="1" si="7"/>
        <v>16000</v>
      </c>
    </row>
    <row r="33" spans="1:8" x14ac:dyDescent="0.2">
      <c r="A33">
        <f t="shared" si="1"/>
        <v>1032</v>
      </c>
      <c r="B33" s="1">
        <f t="shared" ca="1" si="0"/>
        <v>45695</v>
      </c>
      <c r="C33" t="str">
        <f t="shared" ca="1" si="2"/>
        <v>North</v>
      </c>
      <c r="D33" t="str">
        <f t="shared" ca="1" si="3"/>
        <v>Kiran</v>
      </c>
      <c r="E33" t="str">
        <f t="shared" ca="1" si="4"/>
        <v>Laptop</v>
      </c>
      <c r="F33">
        <f t="shared" ca="1" si="5"/>
        <v>6</v>
      </c>
      <c r="G33">
        <f t="shared" ca="1" si="6"/>
        <v>12000</v>
      </c>
      <c r="H33">
        <f t="shared" ca="1" si="7"/>
        <v>72000</v>
      </c>
    </row>
    <row r="34" spans="1:8" x14ac:dyDescent="0.2">
      <c r="A34">
        <f t="shared" si="1"/>
        <v>1033</v>
      </c>
      <c r="B34" s="1">
        <f t="shared" ref="B34:B65" ca="1" si="8">DATE(2025,RANDBETWEEN(1,3),RANDBETWEEN(1,28))</f>
        <v>45666</v>
      </c>
      <c r="C34" t="str">
        <f t="shared" ca="1" si="2"/>
        <v>South</v>
      </c>
      <c r="D34" t="str">
        <f t="shared" ca="1" si="3"/>
        <v>Arun</v>
      </c>
      <c r="E34" t="str">
        <f t="shared" ca="1" si="4"/>
        <v>Printer</v>
      </c>
      <c r="F34">
        <f t="shared" ca="1" si="5"/>
        <v>10</v>
      </c>
      <c r="G34">
        <f t="shared" ca="1" si="6"/>
        <v>12000</v>
      </c>
      <c r="H34">
        <f t="shared" ca="1" si="7"/>
        <v>120000</v>
      </c>
    </row>
    <row r="35" spans="1:8" x14ac:dyDescent="0.2">
      <c r="A35">
        <f t="shared" si="1"/>
        <v>1034</v>
      </c>
      <c r="B35" s="1">
        <f t="shared" ca="1" si="8"/>
        <v>45694</v>
      </c>
      <c r="C35" t="str">
        <f t="shared" ca="1" si="2"/>
        <v>East</v>
      </c>
      <c r="D35" t="str">
        <f t="shared" ca="1" si="3"/>
        <v>Rahul</v>
      </c>
      <c r="E35" t="str">
        <f t="shared" ca="1" si="4"/>
        <v>Laptop</v>
      </c>
      <c r="F35">
        <f t="shared" ca="1" si="5"/>
        <v>4</v>
      </c>
      <c r="G35">
        <f t="shared" ca="1" si="6"/>
        <v>8000</v>
      </c>
      <c r="H35">
        <f t="shared" ca="1" si="7"/>
        <v>32000</v>
      </c>
    </row>
    <row r="36" spans="1:8" x14ac:dyDescent="0.2">
      <c r="A36">
        <f t="shared" si="1"/>
        <v>1035</v>
      </c>
      <c r="B36" s="1">
        <f t="shared" ca="1" si="8"/>
        <v>45722</v>
      </c>
      <c r="C36" t="str">
        <f t="shared" ca="1" si="2"/>
        <v>West</v>
      </c>
      <c r="D36" t="str">
        <f t="shared" ca="1" si="3"/>
        <v>Arun</v>
      </c>
      <c r="E36" t="str">
        <f t="shared" ca="1" si="4"/>
        <v>Printer</v>
      </c>
      <c r="F36">
        <f t="shared" ca="1" si="5"/>
        <v>3</v>
      </c>
      <c r="G36">
        <f t="shared" ca="1" si="6"/>
        <v>1500</v>
      </c>
      <c r="H36">
        <f t="shared" ca="1" si="7"/>
        <v>4500</v>
      </c>
    </row>
    <row r="37" spans="1:8" x14ac:dyDescent="0.2">
      <c r="A37">
        <f t="shared" si="1"/>
        <v>1036</v>
      </c>
      <c r="B37" s="1">
        <f t="shared" ca="1" si="8"/>
        <v>45708</v>
      </c>
      <c r="C37" t="str">
        <f t="shared" ca="1" si="2"/>
        <v>North</v>
      </c>
      <c r="D37" t="str">
        <f t="shared" ca="1" si="3"/>
        <v>Arun</v>
      </c>
      <c r="E37" t="str">
        <f t="shared" ca="1" si="4"/>
        <v>Printer</v>
      </c>
      <c r="F37">
        <f t="shared" ca="1" si="5"/>
        <v>4</v>
      </c>
      <c r="G37">
        <f t="shared" ca="1" si="6"/>
        <v>1500</v>
      </c>
      <c r="H37">
        <f t="shared" ca="1" si="7"/>
        <v>6000</v>
      </c>
    </row>
    <row r="38" spans="1:8" x14ac:dyDescent="0.2">
      <c r="A38">
        <f t="shared" si="1"/>
        <v>1037</v>
      </c>
      <c r="B38" s="1">
        <f t="shared" ca="1" si="8"/>
        <v>45677</v>
      </c>
      <c r="C38" t="str">
        <f t="shared" ca="1" si="2"/>
        <v>South</v>
      </c>
      <c r="D38" t="str">
        <f t="shared" ca="1" si="3"/>
        <v>Priya</v>
      </c>
      <c r="E38" t="str">
        <f t="shared" ca="1" si="4"/>
        <v>Monitor</v>
      </c>
      <c r="F38">
        <f t="shared" ca="1" si="5"/>
        <v>2</v>
      </c>
      <c r="G38">
        <f t="shared" ca="1" si="6"/>
        <v>50000</v>
      </c>
      <c r="H38">
        <f t="shared" ca="1" si="7"/>
        <v>100000</v>
      </c>
    </row>
    <row r="39" spans="1:8" x14ac:dyDescent="0.2">
      <c r="A39">
        <f t="shared" si="1"/>
        <v>1038</v>
      </c>
      <c r="B39" s="1">
        <f t="shared" ca="1" si="8"/>
        <v>45742</v>
      </c>
      <c r="C39" t="str">
        <f t="shared" ca="1" si="2"/>
        <v>West</v>
      </c>
      <c r="D39" t="str">
        <f t="shared" ca="1" si="3"/>
        <v>Priya</v>
      </c>
      <c r="E39" t="str">
        <f t="shared" ca="1" si="4"/>
        <v>Monitor</v>
      </c>
      <c r="F39">
        <f t="shared" ca="1" si="5"/>
        <v>9</v>
      </c>
      <c r="G39">
        <f t="shared" ca="1" si="6"/>
        <v>8000</v>
      </c>
      <c r="H39">
        <f t="shared" ca="1" si="7"/>
        <v>72000</v>
      </c>
    </row>
    <row r="40" spans="1:8" x14ac:dyDescent="0.2">
      <c r="A40">
        <f t="shared" si="1"/>
        <v>1039</v>
      </c>
      <c r="B40" s="1">
        <f t="shared" ca="1" si="8"/>
        <v>45703</v>
      </c>
      <c r="C40" t="str">
        <f t="shared" ca="1" si="2"/>
        <v>South</v>
      </c>
      <c r="D40" t="str">
        <f t="shared" ca="1" si="3"/>
        <v>Priya</v>
      </c>
      <c r="E40" t="str">
        <f t="shared" ca="1" si="4"/>
        <v>Mouse</v>
      </c>
      <c r="F40">
        <f t="shared" ca="1" si="5"/>
        <v>6</v>
      </c>
      <c r="G40">
        <f t="shared" ca="1" si="6"/>
        <v>12000</v>
      </c>
      <c r="H40">
        <f t="shared" ca="1" si="7"/>
        <v>72000</v>
      </c>
    </row>
    <row r="41" spans="1:8" x14ac:dyDescent="0.2">
      <c r="A41">
        <f t="shared" si="1"/>
        <v>1040</v>
      </c>
      <c r="B41" s="1">
        <f t="shared" ca="1" si="8"/>
        <v>45738</v>
      </c>
      <c r="C41" t="str">
        <f t="shared" ca="1" si="2"/>
        <v>South</v>
      </c>
      <c r="D41" t="str">
        <f t="shared" ca="1" si="3"/>
        <v>Kiran</v>
      </c>
      <c r="E41" t="str">
        <f t="shared" ca="1" si="4"/>
        <v>Keyboard</v>
      </c>
      <c r="F41">
        <f t="shared" ca="1" si="5"/>
        <v>5</v>
      </c>
      <c r="G41">
        <f t="shared" ca="1" si="6"/>
        <v>8000</v>
      </c>
      <c r="H41">
        <f t="shared" ca="1" si="7"/>
        <v>40000</v>
      </c>
    </row>
    <row r="42" spans="1:8" x14ac:dyDescent="0.2">
      <c r="A42">
        <f t="shared" si="1"/>
        <v>1041</v>
      </c>
      <c r="B42" s="1">
        <f t="shared" ca="1" si="8"/>
        <v>45683</v>
      </c>
      <c r="C42" t="str">
        <f t="shared" ca="1" si="2"/>
        <v>North</v>
      </c>
      <c r="D42" t="str">
        <f t="shared" ca="1" si="3"/>
        <v>Meena</v>
      </c>
      <c r="E42" t="str">
        <f t="shared" ca="1" si="4"/>
        <v>Laptop</v>
      </c>
      <c r="F42">
        <f t="shared" ca="1" si="5"/>
        <v>7</v>
      </c>
      <c r="G42">
        <f t="shared" ca="1" si="6"/>
        <v>1500</v>
      </c>
      <c r="H42">
        <f t="shared" ca="1" si="7"/>
        <v>10500</v>
      </c>
    </row>
    <row r="43" spans="1:8" x14ac:dyDescent="0.2">
      <c r="A43">
        <f t="shared" si="1"/>
        <v>1042</v>
      </c>
      <c r="B43" s="1">
        <f t="shared" ca="1" si="8"/>
        <v>45704</v>
      </c>
      <c r="C43" t="str">
        <f t="shared" ca="1" si="2"/>
        <v>West</v>
      </c>
      <c r="D43" t="str">
        <f t="shared" ca="1" si="3"/>
        <v>Arun</v>
      </c>
      <c r="E43" t="str">
        <f t="shared" ca="1" si="4"/>
        <v>Monitor</v>
      </c>
      <c r="F43">
        <f t="shared" ca="1" si="5"/>
        <v>9</v>
      </c>
      <c r="G43">
        <f t="shared" ca="1" si="6"/>
        <v>12000</v>
      </c>
      <c r="H43">
        <f t="shared" ca="1" si="7"/>
        <v>108000</v>
      </c>
    </row>
    <row r="44" spans="1:8" x14ac:dyDescent="0.2">
      <c r="A44">
        <f t="shared" si="1"/>
        <v>1043</v>
      </c>
      <c r="B44" s="1">
        <f t="shared" ca="1" si="8"/>
        <v>45693</v>
      </c>
      <c r="C44" t="str">
        <f t="shared" ca="1" si="2"/>
        <v>South</v>
      </c>
      <c r="D44" t="str">
        <f t="shared" ca="1" si="3"/>
        <v>Rahul</v>
      </c>
      <c r="E44" t="str">
        <f t="shared" ca="1" si="4"/>
        <v>Monitor</v>
      </c>
      <c r="F44">
        <f t="shared" ca="1" si="5"/>
        <v>10</v>
      </c>
      <c r="G44">
        <f t="shared" ca="1" si="6"/>
        <v>500</v>
      </c>
      <c r="H44">
        <f t="shared" ca="1" si="7"/>
        <v>5000</v>
      </c>
    </row>
    <row r="45" spans="1:8" x14ac:dyDescent="0.2">
      <c r="A45">
        <f t="shared" si="1"/>
        <v>1044</v>
      </c>
      <c r="B45" s="1">
        <f t="shared" ca="1" si="8"/>
        <v>45731</v>
      </c>
      <c r="C45" t="str">
        <f t="shared" ca="1" si="2"/>
        <v>East</v>
      </c>
      <c r="D45" t="str">
        <f t="shared" ca="1" si="3"/>
        <v>Rahul</v>
      </c>
      <c r="E45" t="str">
        <f t="shared" ca="1" si="4"/>
        <v>Printer</v>
      </c>
      <c r="F45">
        <f t="shared" ca="1" si="5"/>
        <v>10</v>
      </c>
      <c r="G45">
        <f t="shared" ca="1" si="6"/>
        <v>50000</v>
      </c>
      <c r="H45">
        <f t="shared" ca="1" si="7"/>
        <v>500000</v>
      </c>
    </row>
    <row r="46" spans="1:8" x14ac:dyDescent="0.2">
      <c r="A46">
        <f t="shared" si="1"/>
        <v>1045</v>
      </c>
      <c r="B46" s="1">
        <f t="shared" ca="1" si="8"/>
        <v>45708</v>
      </c>
      <c r="C46" t="str">
        <f t="shared" ca="1" si="2"/>
        <v>East</v>
      </c>
      <c r="D46" t="str">
        <f t="shared" ca="1" si="3"/>
        <v>Rahul</v>
      </c>
      <c r="E46" t="str">
        <f t="shared" ca="1" si="4"/>
        <v>Keyboard</v>
      </c>
      <c r="F46">
        <f t="shared" ca="1" si="5"/>
        <v>10</v>
      </c>
      <c r="G46">
        <f t="shared" ca="1" si="6"/>
        <v>500</v>
      </c>
      <c r="H46">
        <f t="shared" ca="1" si="7"/>
        <v>5000</v>
      </c>
    </row>
    <row r="47" spans="1:8" x14ac:dyDescent="0.2">
      <c r="A47">
        <f t="shared" si="1"/>
        <v>1046</v>
      </c>
      <c r="B47" s="1">
        <f t="shared" ca="1" si="8"/>
        <v>45743</v>
      </c>
      <c r="C47" t="str">
        <f t="shared" ca="1" si="2"/>
        <v>North</v>
      </c>
      <c r="D47" t="str">
        <f t="shared" ca="1" si="3"/>
        <v>Meena</v>
      </c>
      <c r="E47" t="str">
        <f t="shared" ca="1" si="4"/>
        <v>Monitor</v>
      </c>
      <c r="F47">
        <f t="shared" ca="1" si="5"/>
        <v>6</v>
      </c>
      <c r="G47">
        <f t="shared" ca="1" si="6"/>
        <v>8000</v>
      </c>
      <c r="H47">
        <f t="shared" ca="1" si="7"/>
        <v>48000</v>
      </c>
    </row>
    <row r="48" spans="1:8" x14ac:dyDescent="0.2">
      <c r="A48">
        <f t="shared" si="1"/>
        <v>1047</v>
      </c>
      <c r="B48" s="1">
        <f t="shared" ca="1" si="8"/>
        <v>45658</v>
      </c>
      <c r="C48" t="str">
        <f t="shared" ca="1" si="2"/>
        <v>West</v>
      </c>
      <c r="D48" t="str">
        <f t="shared" ca="1" si="3"/>
        <v>Rahul</v>
      </c>
      <c r="E48" t="str">
        <f t="shared" ca="1" si="4"/>
        <v>Monitor</v>
      </c>
      <c r="F48">
        <f t="shared" ca="1" si="5"/>
        <v>7</v>
      </c>
      <c r="G48">
        <f t="shared" ca="1" si="6"/>
        <v>8000</v>
      </c>
      <c r="H48">
        <f t="shared" ca="1" si="7"/>
        <v>56000</v>
      </c>
    </row>
    <row r="49" spans="1:8" x14ac:dyDescent="0.2">
      <c r="A49">
        <f t="shared" si="1"/>
        <v>1048</v>
      </c>
      <c r="B49" s="1">
        <f t="shared" ca="1" si="8"/>
        <v>45670</v>
      </c>
      <c r="C49" t="str">
        <f t="shared" ca="1" si="2"/>
        <v>West</v>
      </c>
      <c r="D49" t="str">
        <f t="shared" ca="1" si="3"/>
        <v>Meena</v>
      </c>
      <c r="E49" t="str">
        <f t="shared" ca="1" si="4"/>
        <v>Mouse</v>
      </c>
      <c r="F49">
        <f t="shared" ca="1" si="5"/>
        <v>1</v>
      </c>
      <c r="G49">
        <f t="shared" ca="1" si="6"/>
        <v>500</v>
      </c>
      <c r="H49">
        <f t="shared" ca="1" si="7"/>
        <v>500</v>
      </c>
    </row>
    <row r="50" spans="1:8" x14ac:dyDescent="0.2">
      <c r="A50">
        <f t="shared" si="1"/>
        <v>1049</v>
      </c>
      <c r="B50" s="1">
        <f t="shared" ca="1" si="8"/>
        <v>45718</v>
      </c>
      <c r="C50" t="str">
        <f t="shared" ca="1" si="2"/>
        <v>North</v>
      </c>
      <c r="D50" t="str">
        <f t="shared" ca="1" si="3"/>
        <v>Arun</v>
      </c>
      <c r="E50" t="str">
        <f t="shared" ca="1" si="4"/>
        <v>Mouse</v>
      </c>
      <c r="F50">
        <f t="shared" ca="1" si="5"/>
        <v>7</v>
      </c>
      <c r="G50">
        <f t="shared" ca="1" si="6"/>
        <v>8000</v>
      </c>
      <c r="H50">
        <f t="shared" ca="1" si="7"/>
        <v>56000</v>
      </c>
    </row>
    <row r="51" spans="1:8" x14ac:dyDescent="0.2">
      <c r="A51">
        <f t="shared" si="1"/>
        <v>1050</v>
      </c>
      <c r="B51" s="1">
        <f t="shared" ca="1" si="8"/>
        <v>45722</v>
      </c>
      <c r="C51" t="str">
        <f t="shared" ca="1" si="2"/>
        <v>South</v>
      </c>
      <c r="D51" t="str">
        <f t="shared" ca="1" si="3"/>
        <v>Kiran</v>
      </c>
      <c r="E51" t="str">
        <f t="shared" ca="1" si="4"/>
        <v>Printer</v>
      </c>
      <c r="F51">
        <f t="shared" ca="1" si="5"/>
        <v>10</v>
      </c>
      <c r="G51">
        <f t="shared" ca="1" si="6"/>
        <v>8000</v>
      </c>
      <c r="H51">
        <f t="shared" ca="1" si="7"/>
        <v>80000</v>
      </c>
    </row>
    <row r="52" spans="1:8" x14ac:dyDescent="0.2">
      <c r="A52">
        <f t="shared" si="1"/>
        <v>1051</v>
      </c>
      <c r="B52" s="1">
        <f t="shared" ca="1" si="8"/>
        <v>45734</v>
      </c>
      <c r="C52" t="str">
        <f t="shared" ca="1" si="2"/>
        <v>East</v>
      </c>
      <c r="D52" t="str">
        <f t="shared" ca="1" si="3"/>
        <v>Arun</v>
      </c>
      <c r="E52" t="str">
        <f t="shared" ca="1" si="4"/>
        <v>Keyboard</v>
      </c>
      <c r="F52">
        <f t="shared" ca="1" si="5"/>
        <v>4</v>
      </c>
      <c r="G52">
        <f t="shared" ca="1" si="6"/>
        <v>1500</v>
      </c>
      <c r="H52">
        <f t="shared" ca="1" si="7"/>
        <v>6000</v>
      </c>
    </row>
    <row r="53" spans="1:8" x14ac:dyDescent="0.2">
      <c r="A53">
        <f t="shared" si="1"/>
        <v>1052</v>
      </c>
      <c r="B53" s="1">
        <f t="shared" ca="1" si="8"/>
        <v>45730</v>
      </c>
      <c r="C53" t="str">
        <f t="shared" ca="1" si="2"/>
        <v>North</v>
      </c>
      <c r="D53" t="str">
        <f t="shared" ca="1" si="3"/>
        <v>Kiran</v>
      </c>
      <c r="E53" t="str">
        <f t="shared" ca="1" si="4"/>
        <v>Mouse</v>
      </c>
      <c r="F53">
        <f t="shared" ca="1" si="5"/>
        <v>5</v>
      </c>
      <c r="G53">
        <f t="shared" ca="1" si="6"/>
        <v>50000</v>
      </c>
      <c r="H53">
        <f t="shared" ca="1" si="7"/>
        <v>250000</v>
      </c>
    </row>
    <row r="54" spans="1:8" x14ac:dyDescent="0.2">
      <c r="A54">
        <f t="shared" si="1"/>
        <v>1053</v>
      </c>
      <c r="B54" s="1">
        <f t="shared" ca="1" si="8"/>
        <v>45706</v>
      </c>
      <c r="C54" t="str">
        <f t="shared" ca="1" si="2"/>
        <v>West</v>
      </c>
      <c r="D54" t="str">
        <f t="shared" ca="1" si="3"/>
        <v>Kiran</v>
      </c>
      <c r="E54" t="str">
        <f t="shared" ca="1" si="4"/>
        <v>Monitor</v>
      </c>
      <c r="F54">
        <f t="shared" ca="1" si="5"/>
        <v>5</v>
      </c>
      <c r="G54">
        <f t="shared" ca="1" si="6"/>
        <v>50000</v>
      </c>
      <c r="H54">
        <f t="shared" ca="1" si="7"/>
        <v>250000</v>
      </c>
    </row>
    <row r="55" spans="1:8" x14ac:dyDescent="0.2">
      <c r="A55">
        <f t="shared" si="1"/>
        <v>1054</v>
      </c>
      <c r="B55" s="1">
        <f t="shared" ca="1" si="8"/>
        <v>45722</v>
      </c>
      <c r="C55" t="str">
        <f t="shared" ca="1" si="2"/>
        <v>West</v>
      </c>
      <c r="D55" t="str">
        <f t="shared" ca="1" si="3"/>
        <v>Kiran</v>
      </c>
      <c r="E55" t="str">
        <f t="shared" ca="1" si="4"/>
        <v>Printer</v>
      </c>
      <c r="F55">
        <f t="shared" ca="1" si="5"/>
        <v>10</v>
      </c>
      <c r="G55">
        <f t="shared" ca="1" si="6"/>
        <v>500</v>
      </c>
      <c r="H55">
        <f t="shared" ca="1" si="7"/>
        <v>5000</v>
      </c>
    </row>
    <row r="56" spans="1:8" x14ac:dyDescent="0.2">
      <c r="A56">
        <f t="shared" si="1"/>
        <v>1055</v>
      </c>
      <c r="B56" s="1">
        <f t="shared" ca="1" si="8"/>
        <v>45722</v>
      </c>
      <c r="C56" t="str">
        <f t="shared" ca="1" si="2"/>
        <v>West</v>
      </c>
      <c r="D56" t="str">
        <f t="shared" ca="1" si="3"/>
        <v>Arun</v>
      </c>
      <c r="E56" t="str">
        <f t="shared" ca="1" si="4"/>
        <v>Mouse</v>
      </c>
      <c r="F56">
        <f t="shared" ca="1" si="5"/>
        <v>6</v>
      </c>
      <c r="G56">
        <f t="shared" ca="1" si="6"/>
        <v>12000</v>
      </c>
      <c r="H56">
        <f t="shared" ca="1" si="7"/>
        <v>72000</v>
      </c>
    </row>
    <row r="57" spans="1:8" x14ac:dyDescent="0.2">
      <c r="A57">
        <f t="shared" si="1"/>
        <v>1056</v>
      </c>
      <c r="B57" s="1">
        <f t="shared" ca="1" si="8"/>
        <v>45711</v>
      </c>
      <c r="C57" t="str">
        <f t="shared" ca="1" si="2"/>
        <v>East</v>
      </c>
      <c r="D57" t="str">
        <f t="shared" ca="1" si="3"/>
        <v>Meena</v>
      </c>
      <c r="E57" t="str">
        <f t="shared" ca="1" si="4"/>
        <v>Printer</v>
      </c>
      <c r="F57">
        <f t="shared" ca="1" si="5"/>
        <v>5</v>
      </c>
      <c r="G57">
        <f t="shared" ca="1" si="6"/>
        <v>8000</v>
      </c>
      <c r="H57">
        <f t="shared" ca="1" si="7"/>
        <v>40000</v>
      </c>
    </row>
    <row r="58" spans="1:8" x14ac:dyDescent="0.2">
      <c r="A58">
        <f t="shared" si="1"/>
        <v>1057</v>
      </c>
      <c r="B58" s="1">
        <f t="shared" ca="1" si="8"/>
        <v>45718</v>
      </c>
      <c r="C58" t="str">
        <f t="shared" ca="1" si="2"/>
        <v>North</v>
      </c>
      <c r="D58" t="str">
        <f t="shared" ca="1" si="3"/>
        <v>Arun</v>
      </c>
      <c r="E58" t="str">
        <f t="shared" ca="1" si="4"/>
        <v>Monitor</v>
      </c>
      <c r="F58">
        <f t="shared" ca="1" si="5"/>
        <v>10</v>
      </c>
      <c r="G58">
        <f t="shared" ca="1" si="6"/>
        <v>500</v>
      </c>
      <c r="H58">
        <f t="shared" ca="1" si="7"/>
        <v>5000</v>
      </c>
    </row>
    <row r="59" spans="1:8" x14ac:dyDescent="0.2">
      <c r="A59">
        <f t="shared" si="1"/>
        <v>1058</v>
      </c>
      <c r="B59" s="1">
        <f t="shared" ca="1" si="8"/>
        <v>45730</v>
      </c>
      <c r="C59" t="str">
        <f t="shared" ca="1" si="2"/>
        <v>North</v>
      </c>
      <c r="D59" t="str">
        <f t="shared" ca="1" si="3"/>
        <v>Rahul</v>
      </c>
      <c r="E59" t="str">
        <f t="shared" ca="1" si="4"/>
        <v>Monitor</v>
      </c>
      <c r="F59">
        <f t="shared" ca="1" si="5"/>
        <v>4</v>
      </c>
      <c r="G59">
        <f t="shared" ca="1" si="6"/>
        <v>500</v>
      </c>
      <c r="H59">
        <f t="shared" ca="1" si="7"/>
        <v>2000</v>
      </c>
    </row>
    <row r="60" spans="1:8" x14ac:dyDescent="0.2">
      <c r="A60">
        <f t="shared" si="1"/>
        <v>1059</v>
      </c>
      <c r="B60" s="1">
        <f t="shared" ca="1" si="8"/>
        <v>45730</v>
      </c>
      <c r="C60" t="str">
        <f t="shared" ca="1" si="2"/>
        <v>West</v>
      </c>
      <c r="D60" t="str">
        <f t="shared" ca="1" si="3"/>
        <v>Meena</v>
      </c>
      <c r="E60" t="str">
        <f t="shared" ca="1" si="4"/>
        <v>Monitor</v>
      </c>
      <c r="F60">
        <f t="shared" ca="1" si="5"/>
        <v>7</v>
      </c>
      <c r="G60">
        <f t="shared" ca="1" si="6"/>
        <v>8000</v>
      </c>
      <c r="H60">
        <f t="shared" ca="1" si="7"/>
        <v>56000</v>
      </c>
    </row>
    <row r="61" spans="1:8" x14ac:dyDescent="0.2">
      <c r="A61">
        <f t="shared" si="1"/>
        <v>1060</v>
      </c>
      <c r="B61" s="1">
        <f t="shared" ca="1" si="8"/>
        <v>45714</v>
      </c>
      <c r="C61" t="str">
        <f t="shared" ca="1" si="2"/>
        <v>South</v>
      </c>
      <c r="D61" t="str">
        <f t="shared" ca="1" si="3"/>
        <v>Kiran</v>
      </c>
      <c r="E61" t="str">
        <f t="shared" ca="1" si="4"/>
        <v>Monitor</v>
      </c>
      <c r="F61">
        <f t="shared" ca="1" si="5"/>
        <v>2</v>
      </c>
      <c r="G61">
        <f t="shared" ca="1" si="6"/>
        <v>12000</v>
      </c>
      <c r="H61">
        <f t="shared" ca="1" si="7"/>
        <v>24000</v>
      </c>
    </row>
    <row r="62" spans="1:8" x14ac:dyDescent="0.2">
      <c r="A62">
        <f t="shared" si="1"/>
        <v>1061</v>
      </c>
      <c r="B62" s="1">
        <f t="shared" ca="1" si="8"/>
        <v>45694</v>
      </c>
      <c r="C62" t="str">
        <f t="shared" ca="1" si="2"/>
        <v>North</v>
      </c>
      <c r="D62" t="str">
        <f t="shared" ca="1" si="3"/>
        <v>Priya</v>
      </c>
      <c r="E62" t="str">
        <f t="shared" ca="1" si="4"/>
        <v>Keyboard</v>
      </c>
      <c r="F62">
        <f t="shared" ca="1" si="5"/>
        <v>10</v>
      </c>
      <c r="G62">
        <f t="shared" ca="1" si="6"/>
        <v>8000</v>
      </c>
      <c r="H62">
        <f t="shared" ca="1" si="7"/>
        <v>80000</v>
      </c>
    </row>
    <row r="63" spans="1:8" x14ac:dyDescent="0.2">
      <c r="A63">
        <f t="shared" si="1"/>
        <v>1062</v>
      </c>
      <c r="B63" s="1">
        <f t="shared" ca="1" si="8"/>
        <v>45739</v>
      </c>
      <c r="C63" t="str">
        <f t="shared" ca="1" si="2"/>
        <v>North</v>
      </c>
      <c r="D63" t="str">
        <f t="shared" ca="1" si="3"/>
        <v>Arun</v>
      </c>
      <c r="E63" t="str">
        <f t="shared" ca="1" si="4"/>
        <v>Printer</v>
      </c>
      <c r="F63">
        <f t="shared" ca="1" si="5"/>
        <v>6</v>
      </c>
      <c r="G63">
        <f t="shared" ca="1" si="6"/>
        <v>1500</v>
      </c>
      <c r="H63">
        <f t="shared" ca="1" si="7"/>
        <v>9000</v>
      </c>
    </row>
    <row r="64" spans="1:8" x14ac:dyDescent="0.2">
      <c r="A64">
        <f t="shared" si="1"/>
        <v>1063</v>
      </c>
      <c r="B64" s="1">
        <f t="shared" ca="1" si="8"/>
        <v>45714</v>
      </c>
      <c r="C64" t="str">
        <f t="shared" ca="1" si="2"/>
        <v>North</v>
      </c>
      <c r="D64" t="str">
        <f t="shared" ca="1" si="3"/>
        <v>Rahul</v>
      </c>
      <c r="E64" t="str">
        <f t="shared" ca="1" si="4"/>
        <v>Mouse</v>
      </c>
      <c r="F64">
        <f t="shared" ca="1" si="5"/>
        <v>10</v>
      </c>
      <c r="G64">
        <f t="shared" ca="1" si="6"/>
        <v>1500</v>
      </c>
      <c r="H64">
        <f t="shared" ca="1" si="7"/>
        <v>15000</v>
      </c>
    </row>
    <row r="65" spans="1:8" x14ac:dyDescent="0.2">
      <c r="A65">
        <f t="shared" si="1"/>
        <v>1064</v>
      </c>
      <c r="B65" s="1">
        <f t="shared" ca="1" si="8"/>
        <v>45696</v>
      </c>
      <c r="C65" t="str">
        <f t="shared" ca="1" si="2"/>
        <v>South</v>
      </c>
      <c r="D65" t="str">
        <f t="shared" ca="1" si="3"/>
        <v>Arun</v>
      </c>
      <c r="E65" t="str">
        <f t="shared" ca="1" si="4"/>
        <v>Keyboard</v>
      </c>
      <c r="F65">
        <f t="shared" ca="1" si="5"/>
        <v>1</v>
      </c>
      <c r="G65">
        <f t="shared" ca="1" si="6"/>
        <v>8000</v>
      </c>
      <c r="H65">
        <f t="shared" ca="1" si="7"/>
        <v>8000</v>
      </c>
    </row>
    <row r="66" spans="1:8" x14ac:dyDescent="0.2">
      <c r="A66">
        <f t="shared" si="1"/>
        <v>1065</v>
      </c>
      <c r="B66" s="1">
        <f t="shared" ref="B66:B97" ca="1" si="9">DATE(2025,RANDBETWEEN(1,3),RANDBETWEEN(1,28))</f>
        <v>45678</v>
      </c>
      <c r="C66" t="str">
        <f t="shared" ca="1" si="2"/>
        <v>South</v>
      </c>
      <c r="D66" t="str">
        <f t="shared" ca="1" si="3"/>
        <v>Rahul</v>
      </c>
      <c r="E66" t="str">
        <f t="shared" ca="1" si="4"/>
        <v>Mouse</v>
      </c>
      <c r="F66">
        <f t="shared" ca="1" si="5"/>
        <v>4</v>
      </c>
      <c r="G66">
        <f t="shared" ca="1" si="6"/>
        <v>500</v>
      </c>
      <c r="H66">
        <f t="shared" ca="1" si="7"/>
        <v>2000</v>
      </c>
    </row>
    <row r="67" spans="1:8" x14ac:dyDescent="0.2">
      <c r="A67">
        <f t="shared" ref="A67:A130" si="10">1000+ROW()-1</f>
        <v>1066</v>
      </c>
      <c r="B67" s="1">
        <f t="shared" ca="1" si="9"/>
        <v>45723</v>
      </c>
      <c r="C67" t="str">
        <f t="shared" ref="C67:C130" ca="1" si="11">CHOOSE(RANDBETWEEN(1,4),"North","South","East","West")</f>
        <v>North</v>
      </c>
      <c r="D67" t="str">
        <f t="shared" ref="D67:D130" ca="1" si="12">CHOOSE(RANDBETWEEN(1,5),"Arun","Priya","Rahul","Meena","Kiran")</f>
        <v>Kiran</v>
      </c>
      <c r="E67" t="str">
        <f t="shared" ref="E67:E130" ca="1" si="13">CHOOSE(RANDBETWEEN(1,5),"Laptop","Mouse","Keyboard","Monitor","Printer")</f>
        <v>Laptop</v>
      </c>
      <c r="F67">
        <f t="shared" ref="F67:F130" ca="1" si="14">RANDBETWEEN(1,10)</f>
        <v>9</v>
      </c>
      <c r="G67">
        <f t="shared" ref="G67:G130" ca="1" si="15">CHOOSE(RANDBETWEEN(1,5),50000,500,1500,12000,8000)</f>
        <v>1500</v>
      </c>
      <c r="H67">
        <f t="shared" ref="H67:H130" ca="1" si="16">F67*G67</f>
        <v>13500</v>
      </c>
    </row>
    <row r="68" spans="1:8" x14ac:dyDescent="0.2">
      <c r="A68">
        <f t="shared" si="10"/>
        <v>1067</v>
      </c>
      <c r="B68" s="1">
        <f t="shared" ca="1" si="9"/>
        <v>45684</v>
      </c>
      <c r="C68" t="str">
        <f t="shared" ca="1" si="11"/>
        <v>South</v>
      </c>
      <c r="D68" t="str">
        <f t="shared" ca="1" si="12"/>
        <v>Rahul</v>
      </c>
      <c r="E68" t="str">
        <f t="shared" ca="1" si="13"/>
        <v>Laptop</v>
      </c>
      <c r="F68">
        <f t="shared" ca="1" si="14"/>
        <v>8</v>
      </c>
      <c r="G68">
        <f t="shared" ca="1" si="15"/>
        <v>500</v>
      </c>
      <c r="H68">
        <f t="shared" ca="1" si="16"/>
        <v>4000</v>
      </c>
    </row>
    <row r="69" spans="1:8" x14ac:dyDescent="0.2">
      <c r="A69">
        <f t="shared" si="10"/>
        <v>1068</v>
      </c>
      <c r="B69" s="1">
        <f t="shared" ca="1" si="9"/>
        <v>45725</v>
      </c>
      <c r="C69" t="str">
        <f t="shared" ca="1" si="11"/>
        <v>South</v>
      </c>
      <c r="D69" t="str">
        <f t="shared" ca="1" si="12"/>
        <v>Rahul</v>
      </c>
      <c r="E69" t="str">
        <f t="shared" ca="1" si="13"/>
        <v>Mouse</v>
      </c>
      <c r="F69">
        <f t="shared" ca="1" si="14"/>
        <v>10</v>
      </c>
      <c r="G69">
        <f t="shared" ca="1" si="15"/>
        <v>8000</v>
      </c>
      <c r="H69">
        <f t="shared" ca="1" si="16"/>
        <v>80000</v>
      </c>
    </row>
    <row r="70" spans="1:8" x14ac:dyDescent="0.2">
      <c r="A70">
        <f t="shared" si="10"/>
        <v>1069</v>
      </c>
      <c r="B70" s="1">
        <f t="shared" ca="1" si="9"/>
        <v>45721</v>
      </c>
      <c r="C70" t="str">
        <f t="shared" ca="1" si="11"/>
        <v>East</v>
      </c>
      <c r="D70" t="str">
        <f t="shared" ca="1" si="12"/>
        <v>Kiran</v>
      </c>
      <c r="E70" t="str">
        <f t="shared" ca="1" si="13"/>
        <v>Printer</v>
      </c>
      <c r="F70">
        <f t="shared" ca="1" si="14"/>
        <v>5</v>
      </c>
      <c r="G70">
        <f t="shared" ca="1" si="15"/>
        <v>500</v>
      </c>
      <c r="H70">
        <f t="shared" ca="1" si="16"/>
        <v>2500</v>
      </c>
    </row>
    <row r="71" spans="1:8" x14ac:dyDescent="0.2">
      <c r="A71">
        <f t="shared" si="10"/>
        <v>1070</v>
      </c>
      <c r="B71" s="1">
        <f t="shared" ca="1" si="9"/>
        <v>45743</v>
      </c>
      <c r="C71" t="str">
        <f t="shared" ca="1" si="11"/>
        <v>North</v>
      </c>
      <c r="D71" t="str">
        <f t="shared" ca="1" si="12"/>
        <v>Kiran</v>
      </c>
      <c r="E71" t="str">
        <f t="shared" ca="1" si="13"/>
        <v>Laptop</v>
      </c>
      <c r="F71">
        <f t="shared" ca="1" si="14"/>
        <v>8</v>
      </c>
      <c r="G71">
        <f t="shared" ca="1" si="15"/>
        <v>8000</v>
      </c>
      <c r="H71">
        <f t="shared" ca="1" si="16"/>
        <v>64000</v>
      </c>
    </row>
    <row r="72" spans="1:8" x14ac:dyDescent="0.2">
      <c r="A72">
        <f t="shared" si="10"/>
        <v>1071</v>
      </c>
      <c r="B72" s="1">
        <f t="shared" ca="1" si="9"/>
        <v>45685</v>
      </c>
      <c r="C72" t="str">
        <f t="shared" ca="1" si="11"/>
        <v>West</v>
      </c>
      <c r="D72" t="str">
        <f t="shared" ca="1" si="12"/>
        <v>Arun</v>
      </c>
      <c r="E72" t="str">
        <f t="shared" ca="1" si="13"/>
        <v>Monitor</v>
      </c>
      <c r="F72">
        <f t="shared" ca="1" si="14"/>
        <v>5</v>
      </c>
      <c r="G72">
        <f t="shared" ca="1" si="15"/>
        <v>500</v>
      </c>
      <c r="H72">
        <f t="shared" ca="1" si="16"/>
        <v>2500</v>
      </c>
    </row>
    <row r="73" spans="1:8" x14ac:dyDescent="0.2">
      <c r="A73">
        <f t="shared" si="10"/>
        <v>1072</v>
      </c>
      <c r="B73" s="1">
        <f t="shared" ca="1" si="9"/>
        <v>45701</v>
      </c>
      <c r="C73" t="str">
        <f t="shared" ca="1" si="11"/>
        <v>South</v>
      </c>
      <c r="D73" t="str">
        <f t="shared" ca="1" si="12"/>
        <v>Arun</v>
      </c>
      <c r="E73" t="str">
        <f t="shared" ca="1" si="13"/>
        <v>Monitor</v>
      </c>
      <c r="F73">
        <f t="shared" ca="1" si="14"/>
        <v>6</v>
      </c>
      <c r="G73">
        <f t="shared" ca="1" si="15"/>
        <v>500</v>
      </c>
      <c r="H73">
        <f t="shared" ca="1" si="16"/>
        <v>3000</v>
      </c>
    </row>
    <row r="74" spans="1:8" x14ac:dyDescent="0.2">
      <c r="A74">
        <f t="shared" si="10"/>
        <v>1073</v>
      </c>
      <c r="B74" s="1">
        <f t="shared" ca="1" si="9"/>
        <v>45658</v>
      </c>
      <c r="C74" t="str">
        <f t="shared" ca="1" si="11"/>
        <v>West</v>
      </c>
      <c r="D74" t="str">
        <f t="shared" ca="1" si="12"/>
        <v>Priya</v>
      </c>
      <c r="E74" t="str">
        <f t="shared" ca="1" si="13"/>
        <v>Laptop</v>
      </c>
      <c r="F74">
        <f t="shared" ca="1" si="14"/>
        <v>6</v>
      </c>
      <c r="G74">
        <f t="shared" ca="1" si="15"/>
        <v>8000</v>
      </c>
      <c r="H74">
        <f t="shared" ca="1" si="16"/>
        <v>48000</v>
      </c>
    </row>
    <row r="75" spans="1:8" x14ac:dyDescent="0.2">
      <c r="A75">
        <f t="shared" si="10"/>
        <v>1074</v>
      </c>
      <c r="B75" s="1">
        <f t="shared" ca="1" si="9"/>
        <v>45725</v>
      </c>
      <c r="C75" t="str">
        <f t="shared" ca="1" si="11"/>
        <v>North</v>
      </c>
      <c r="D75" t="str">
        <f t="shared" ca="1" si="12"/>
        <v>Meena</v>
      </c>
      <c r="E75" t="str">
        <f t="shared" ca="1" si="13"/>
        <v>Mouse</v>
      </c>
      <c r="F75">
        <f t="shared" ca="1" si="14"/>
        <v>9</v>
      </c>
      <c r="G75">
        <f t="shared" ca="1" si="15"/>
        <v>12000</v>
      </c>
      <c r="H75">
        <f t="shared" ca="1" si="16"/>
        <v>108000</v>
      </c>
    </row>
    <row r="76" spans="1:8" x14ac:dyDescent="0.2">
      <c r="A76">
        <f t="shared" si="10"/>
        <v>1075</v>
      </c>
      <c r="B76" s="1">
        <f t="shared" ca="1" si="9"/>
        <v>45738</v>
      </c>
      <c r="C76" t="str">
        <f t="shared" ca="1" si="11"/>
        <v>West</v>
      </c>
      <c r="D76" t="str">
        <f t="shared" ca="1" si="12"/>
        <v>Priya</v>
      </c>
      <c r="E76" t="str">
        <f t="shared" ca="1" si="13"/>
        <v>Printer</v>
      </c>
      <c r="F76">
        <f t="shared" ca="1" si="14"/>
        <v>3</v>
      </c>
      <c r="G76">
        <f t="shared" ca="1" si="15"/>
        <v>500</v>
      </c>
      <c r="H76">
        <f t="shared" ca="1" si="16"/>
        <v>1500</v>
      </c>
    </row>
    <row r="77" spans="1:8" x14ac:dyDescent="0.2">
      <c r="A77">
        <f t="shared" si="10"/>
        <v>1076</v>
      </c>
      <c r="B77" s="1">
        <f t="shared" ca="1" si="9"/>
        <v>45719</v>
      </c>
      <c r="C77" t="str">
        <f t="shared" ca="1" si="11"/>
        <v>East</v>
      </c>
      <c r="D77" t="str">
        <f t="shared" ca="1" si="12"/>
        <v>Priya</v>
      </c>
      <c r="E77" t="str">
        <f t="shared" ca="1" si="13"/>
        <v>Keyboard</v>
      </c>
      <c r="F77">
        <f t="shared" ca="1" si="14"/>
        <v>2</v>
      </c>
      <c r="G77">
        <f t="shared" ca="1" si="15"/>
        <v>500</v>
      </c>
      <c r="H77">
        <f t="shared" ca="1" si="16"/>
        <v>1000</v>
      </c>
    </row>
    <row r="78" spans="1:8" x14ac:dyDescent="0.2">
      <c r="A78">
        <f t="shared" si="10"/>
        <v>1077</v>
      </c>
      <c r="B78" s="1">
        <f t="shared" ca="1" si="9"/>
        <v>45708</v>
      </c>
      <c r="C78" t="str">
        <f t="shared" ca="1" si="11"/>
        <v>East</v>
      </c>
      <c r="D78" t="str">
        <f t="shared" ca="1" si="12"/>
        <v>Priya</v>
      </c>
      <c r="E78" t="str">
        <f t="shared" ca="1" si="13"/>
        <v>Printer</v>
      </c>
      <c r="F78">
        <f t="shared" ca="1" si="14"/>
        <v>6</v>
      </c>
      <c r="G78">
        <f t="shared" ca="1" si="15"/>
        <v>8000</v>
      </c>
      <c r="H78">
        <f t="shared" ca="1" si="16"/>
        <v>48000</v>
      </c>
    </row>
    <row r="79" spans="1:8" x14ac:dyDescent="0.2">
      <c r="A79">
        <f t="shared" si="10"/>
        <v>1078</v>
      </c>
      <c r="B79" s="1">
        <f t="shared" ca="1" si="9"/>
        <v>45660</v>
      </c>
      <c r="C79" t="str">
        <f t="shared" ca="1" si="11"/>
        <v>South</v>
      </c>
      <c r="D79" t="str">
        <f t="shared" ca="1" si="12"/>
        <v>Arun</v>
      </c>
      <c r="E79" t="str">
        <f t="shared" ca="1" si="13"/>
        <v>Printer</v>
      </c>
      <c r="F79">
        <f t="shared" ca="1" si="14"/>
        <v>5</v>
      </c>
      <c r="G79">
        <f t="shared" ca="1" si="15"/>
        <v>50000</v>
      </c>
      <c r="H79">
        <f t="shared" ca="1" si="16"/>
        <v>250000</v>
      </c>
    </row>
    <row r="80" spans="1:8" x14ac:dyDescent="0.2">
      <c r="A80">
        <f t="shared" si="10"/>
        <v>1079</v>
      </c>
      <c r="B80" s="1">
        <f t="shared" ca="1" si="9"/>
        <v>45677</v>
      </c>
      <c r="C80" t="str">
        <f t="shared" ca="1" si="11"/>
        <v>West</v>
      </c>
      <c r="D80" t="str">
        <f t="shared" ca="1" si="12"/>
        <v>Rahul</v>
      </c>
      <c r="E80" t="str">
        <f t="shared" ca="1" si="13"/>
        <v>Printer</v>
      </c>
      <c r="F80">
        <f t="shared" ca="1" si="14"/>
        <v>2</v>
      </c>
      <c r="G80">
        <f t="shared" ca="1" si="15"/>
        <v>1500</v>
      </c>
      <c r="H80">
        <f t="shared" ca="1" si="16"/>
        <v>3000</v>
      </c>
    </row>
    <row r="81" spans="1:8" x14ac:dyDescent="0.2">
      <c r="A81">
        <f t="shared" si="10"/>
        <v>1080</v>
      </c>
      <c r="B81" s="1">
        <f t="shared" ca="1" si="9"/>
        <v>45705</v>
      </c>
      <c r="C81" t="str">
        <f t="shared" ca="1" si="11"/>
        <v>South</v>
      </c>
      <c r="D81" t="str">
        <f t="shared" ca="1" si="12"/>
        <v>Kiran</v>
      </c>
      <c r="E81" t="str">
        <f t="shared" ca="1" si="13"/>
        <v>Laptop</v>
      </c>
      <c r="F81">
        <f t="shared" ca="1" si="14"/>
        <v>9</v>
      </c>
      <c r="G81">
        <f t="shared" ca="1" si="15"/>
        <v>12000</v>
      </c>
      <c r="H81">
        <f t="shared" ca="1" si="16"/>
        <v>108000</v>
      </c>
    </row>
    <row r="82" spans="1:8" x14ac:dyDescent="0.2">
      <c r="A82">
        <f t="shared" si="10"/>
        <v>1081</v>
      </c>
      <c r="B82" s="1">
        <f t="shared" ca="1" si="9"/>
        <v>45660</v>
      </c>
      <c r="C82" t="str">
        <f t="shared" ca="1" si="11"/>
        <v>West</v>
      </c>
      <c r="D82" t="str">
        <f t="shared" ca="1" si="12"/>
        <v>Kiran</v>
      </c>
      <c r="E82" t="str">
        <f t="shared" ca="1" si="13"/>
        <v>Laptop</v>
      </c>
      <c r="F82">
        <f t="shared" ca="1" si="14"/>
        <v>4</v>
      </c>
      <c r="G82">
        <f t="shared" ca="1" si="15"/>
        <v>12000</v>
      </c>
      <c r="H82">
        <f t="shared" ca="1" si="16"/>
        <v>48000</v>
      </c>
    </row>
    <row r="83" spans="1:8" x14ac:dyDescent="0.2">
      <c r="A83">
        <f t="shared" si="10"/>
        <v>1082</v>
      </c>
      <c r="B83" s="1">
        <f t="shared" ca="1" si="9"/>
        <v>45676</v>
      </c>
      <c r="C83" t="str">
        <f t="shared" ca="1" si="11"/>
        <v>South</v>
      </c>
      <c r="D83" t="str">
        <f t="shared" ca="1" si="12"/>
        <v>Arun</v>
      </c>
      <c r="E83" t="str">
        <f t="shared" ca="1" si="13"/>
        <v>Keyboard</v>
      </c>
      <c r="F83">
        <f t="shared" ca="1" si="14"/>
        <v>8</v>
      </c>
      <c r="G83">
        <f t="shared" ca="1" si="15"/>
        <v>1500</v>
      </c>
      <c r="H83">
        <f t="shared" ca="1" si="16"/>
        <v>12000</v>
      </c>
    </row>
    <row r="84" spans="1:8" x14ac:dyDescent="0.2">
      <c r="A84">
        <f t="shared" si="10"/>
        <v>1083</v>
      </c>
      <c r="B84" s="1">
        <f t="shared" ca="1" si="9"/>
        <v>45696</v>
      </c>
      <c r="C84" t="str">
        <f t="shared" ca="1" si="11"/>
        <v>South</v>
      </c>
      <c r="D84" t="str">
        <f t="shared" ca="1" si="12"/>
        <v>Arun</v>
      </c>
      <c r="E84" t="str">
        <f t="shared" ca="1" si="13"/>
        <v>Monitor</v>
      </c>
      <c r="F84">
        <f t="shared" ca="1" si="14"/>
        <v>5</v>
      </c>
      <c r="G84">
        <f t="shared" ca="1" si="15"/>
        <v>50000</v>
      </c>
      <c r="H84">
        <f t="shared" ca="1" si="16"/>
        <v>250000</v>
      </c>
    </row>
    <row r="85" spans="1:8" x14ac:dyDescent="0.2">
      <c r="A85">
        <f t="shared" si="10"/>
        <v>1084</v>
      </c>
      <c r="B85" s="1">
        <f t="shared" ca="1" si="9"/>
        <v>45719</v>
      </c>
      <c r="C85" t="str">
        <f t="shared" ca="1" si="11"/>
        <v>East</v>
      </c>
      <c r="D85" t="str">
        <f t="shared" ca="1" si="12"/>
        <v>Kiran</v>
      </c>
      <c r="E85" t="str">
        <f t="shared" ca="1" si="13"/>
        <v>Monitor</v>
      </c>
      <c r="F85">
        <f t="shared" ca="1" si="14"/>
        <v>2</v>
      </c>
      <c r="G85">
        <f t="shared" ca="1" si="15"/>
        <v>12000</v>
      </c>
      <c r="H85">
        <f t="shared" ca="1" si="16"/>
        <v>24000</v>
      </c>
    </row>
    <row r="86" spans="1:8" x14ac:dyDescent="0.2">
      <c r="A86">
        <f t="shared" si="10"/>
        <v>1085</v>
      </c>
      <c r="B86" s="1">
        <f t="shared" ca="1" si="9"/>
        <v>45664</v>
      </c>
      <c r="C86" t="str">
        <f t="shared" ca="1" si="11"/>
        <v>West</v>
      </c>
      <c r="D86" t="str">
        <f t="shared" ca="1" si="12"/>
        <v>Rahul</v>
      </c>
      <c r="E86" t="str">
        <f t="shared" ca="1" si="13"/>
        <v>Keyboard</v>
      </c>
      <c r="F86">
        <f t="shared" ca="1" si="14"/>
        <v>5</v>
      </c>
      <c r="G86">
        <f t="shared" ca="1" si="15"/>
        <v>1500</v>
      </c>
      <c r="H86">
        <f t="shared" ca="1" si="16"/>
        <v>7500</v>
      </c>
    </row>
    <row r="87" spans="1:8" x14ac:dyDescent="0.2">
      <c r="A87">
        <f t="shared" si="10"/>
        <v>1086</v>
      </c>
      <c r="B87" s="1">
        <f t="shared" ca="1" si="9"/>
        <v>45701</v>
      </c>
      <c r="C87" t="str">
        <f t="shared" ca="1" si="11"/>
        <v>East</v>
      </c>
      <c r="D87" t="str">
        <f t="shared" ca="1" si="12"/>
        <v>Arun</v>
      </c>
      <c r="E87" t="str">
        <f t="shared" ca="1" si="13"/>
        <v>Mouse</v>
      </c>
      <c r="F87">
        <f t="shared" ca="1" si="14"/>
        <v>5</v>
      </c>
      <c r="G87">
        <f t="shared" ca="1" si="15"/>
        <v>1500</v>
      </c>
      <c r="H87">
        <f t="shared" ca="1" si="16"/>
        <v>7500</v>
      </c>
    </row>
    <row r="88" spans="1:8" x14ac:dyDescent="0.2">
      <c r="A88">
        <f t="shared" si="10"/>
        <v>1087</v>
      </c>
      <c r="B88" s="1">
        <f t="shared" ca="1" si="9"/>
        <v>45675</v>
      </c>
      <c r="C88" t="str">
        <f t="shared" ca="1" si="11"/>
        <v>North</v>
      </c>
      <c r="D88" t="str">
        <f t="shared" ca="1" si="12"/>
        <v>Priya</v>
      </c>
      <c r="E88" t="str">
        <f t="shared" ca="1" si="13"/>
        <v>Laptop</v>
      </c>
      <c r="F88">
        <f t="shared" ca="1" si="14"/>
        <v>4</v>
      </c>
      <c r="G88">
        <f t="shared" ca="1" si="15"/>
        <v>50000</v>
      </c>
      <c r="H88">
        <f t="shared" ca="1" si="16"/>
        <v>200000</v>
      </c>
    </row>
    <row r="89" spans="1:8" x14ac:dyDescent="0.2">
      <c r="A89">
        <f t="shared" si="10"/>
        <v>1088</v>
      </c>
      <c r="B89" s="1">
        <f t="shared" ca="1" si="9"/>
        <v>45744</v>
      </c>
      <c r="C89" t="str">
        <f t="shared" ca="1" si="11"/>
        <v>East</v>
      </c>
      <c r="D89" t="str">
        <f t="shared" ca="1" si="12"/>
        <v>Priya</v>
      </c>
      <c r="E89" t="str">
        <f t="shared" ca="1" si="13"/>
        <v>Monitor</v>
      </c>
      <c r="F89">
        <f t="shared" ca="1" si="14"/>
        <v>3</v>
      </c>
      <c r="G89">
        <f t="shared" ca="1" si="15"/>
        <v>50000</v>
      </c>
      <c r="H89">
        <f t="shared" ca="1" si="16"/>
        <v>150000</v>
      </c>
    </row>
    <row r="90" spans="1:8" x14ac:dyDescent="0.2">
      <c r="A90">
        <f t="shared" si="10"/>
        <v>1089</v>
      </c>
      <c r="B90" s="1">
        <f t="shared" ca="1" si="9"/>
        <v>45701</v>
      </c>
      <c r="C90" t="str">
        <f t="shared" ca="1" si="11"/>
        <v>South</v>
      </c>
      <c r="D90" t="str">
        <f t="shared" ca="1" si="12"/>
        <v>Kiran</v>
      </c>
      <c r="E90" t="str">
        <f t="shared" ca="1" si="13"/>
        <v>Monitor</v>
      </c>
      <c r="F90">
        <f t="shared" ca="1" si="14"/>
        <v>10</v>
      </c>
      <c r="G90">
        <f t="shared" ca="1" si="15"/>
        <v>50000</v>
      </c>
      <c r="H90">
        <f t="shared" ca="1" si="16"/>
        <v>500000</v>
      </c>
    </row>
    <row r="91" spans="1:8" x14ac:dyDescent="0.2">
      <c r="A91">
        <f t="shared" si="10"/>
        <v>1090</v>
      </c>
      <c r="B91" s="1">
        <f t="shared" ca="1" si="9"/>
        <v>45720</v>
      </c>
      <c r="C91" t="str">
        <f t="shared" ca="1" si="11"/>
        <v>East</v>
      </c>
      <c r="D91" t="str">
        <f t="shared" ca="1" si="12"/>
        <v>Meena</v>
      </c>
      <c r="E91" t="str">
        <f t="shared" ca="1" si="13"/>
        <v>Keyboard</v>
      </c>
      <c r="F91">
        <f t="shared" ca="1" si="14"/>
        <v>8</v>
      </c>
      <c r="G91">
        <f t="shared" ca="1" si="15"/>
        <v>8000</v>
      </c>
      <c r="H91">
        <f t="shared" ca="1" si="16"/>
        <v>64000</v>
      </c>
    </row>
    <row r="92" spans="1:8" x14ac:dyDescent="0.2">
      <c r="A92">
        <f t="shared" si="10"/>
        <v>1091</v>
      </c>
      <c r="B92" s="1">
        <f t="shared" ca="1" si="9"/>
        <v>45726</v>
      </c>
      <c r="C92" t="str">
        <f t="shared" ca="1" si="11"/>
        <v>East</v>
      </c>
      <c r="D92" t="str">
        <f t="shared" ca="1" si="12"/>
        <v>Rahul</v>
      </c>
      <c r="E92" t="str">
        <f t="shared" ca="1" si="13"/>
        <v>Printer</v>
      </c>
      <c r="F92">
        <f t="shared" ca="1" si="14"/>
        <v>4</v>
      </c>
      <c r="G92">
        <f t="shared" ca="1" si="15"/>
        <v>500</v>
      </c>
      <c r="H92">
        <f t="shared" ca="1" si="16"/>
        <v>2000</v>
      </c>
    </row>
    <row r="93" spans="1:8" x14ac:dyDescent="0.2">
      <c r="A93">
        <f t="shared" si="10"/>
        <v>1092</v>
      </c>
      <c r="B93" s="1">
        <f t="shared" ca="1" si="9"/>
        <v>45709</v>
      </c>
      <c r="C93" t="str">
        <f t="shared" ca="1" si="11"/>
        <v>North</v>
      </c>
      <c r="D93" t="str">
        <f t="shared" ca="1" si="12"/>
        <v>Meena</v>
      </c>
      <c r="E93" t="str">
        <f t="shared" ca="1" si="13"/>
        <v>Monitor</v>
      </c>
      <c r="F93">
        <f t="shared" ca="1" si="14"/>
        <v>8</v>
      </c>
      <c r="G93">
        <f t="shared" ca="1" si="15"/>
        <v>8000</v>
      </c>
      <c r="H93">
        <f t="shared" ca="1" si="16"/>
        <v>64000</v>
      </c>
    </row>
    <row r="94" spans="1:8" x14ac:dyDescent="0.2">
      <c r="A94">
        <f t="shared" si="10"/>
        <v>1093</v>
      </c>
      <c r="B94" s="1">
        <f t="shared" ca="1" si="9"/>
        <v>45712</v>
      </c>
      <c r="C94" t="str">
        <f t="shared" ca="1" si="11"/>
        <v>East</v>
      </c>
      <c r="D94" t="str">
        <f t="shared" ca="1" si="12"/>
        <v>Kiran</v>
      </c>
      <c r="E94" t="str">
        <f t="shared" ca="1" si="13"/>
        <v>Monitor</v>
      </c>
      <c r="F94">
        <f t="shared" ca="1" si="14"/>
        <v>1</v>
      </c>
      <c r="G94">
        <f t="shared" ca="1" si="15"/>
        <v>50000</v>
      </c>
      <c r="H94">
        <f t="shared" ca="1" si="16"/>
        <v>50000</v>
      </c>
    </row>
    <row r="95" spans="1:8" x14ac:dyDescent="0.2">
      <c r="A95">
        <f t="shared" si="10"/>
        <v>1094</v>
      </c>
      <c r="B95" s="1">
        <f t="shared" ca="1" si="9"/>
        <v>45731</v>
      </c>
      <c r="C95" t="str">
        <f t="shared" ca="1" si="11"/>
        <v>South</v>
      </c>
      <c r="D95" t="str">
        <f t="shared" ca="1" si="12"/>
        <v>Kiran</v>
      </c>
      <c r="E95" t="str">
        <f t="shared" ca="1" si="13"/>
        <v>Laptop</v>
      </c>
      <c r="F95">
        <f t="shared" ca="1" si="14"/>
        <v>5</v>
      </c>
      <c r="G95">
        <f t="shared" ca="1" si="15"/>
        <v>50000</v>
      </c>
      <c r="H95">
        <f t="shared" ca="1" si="16"/>
        <v>250000</v>
      </c>
    </row>
    <row r="96" spans="1:8" x14ac:dyDescent="0.2">
      <c r="A96">
        <f t="shared" si="10"/>
        <v>1095</v>
      </c>
      <c r="B96" s="1">
        <f t="shared" ca="1" si="9"/>
        <v>45732</v>
      </c>
      <c r="C96" t="str">
        <f t="shared" ca="1" si="11"/>
        <v>East</v>
      </c>
      <c r="D96" t="str">
        <f t="shared" ca="1" si="12"/>
        <v>Priya</v>
      </c>
      <c r="E96" t="str">
        <f t="shared" ca="1" si="13"/>
        <v>Laptop</v>
      </c>
      <c r="F96">
        <f t="shared" ca="1" si="14"/>
        <v>5</v>
      </c>
      <c r="G96">
        <f t="shared" ca="1" si="15"/>
        <v>500</v>
      </c>
      <c r="H96">
        <f t="shared" ca="1" si="16"/>
        <v>2500</v>
      </c>
    </row>
    <row r="97" spans="1:9" x14ac:dyDescent="0.2">
      <c r="A97">
        <f t="shared" si="10"/>
        <v>1096</v>
      </c>
      <c r="B97" s="1">
        <f t="shared" ca="1" si="9"/>
        <v>45726</v>
      </c>
      <c r="C97" t="str">
        <f t="shared" ca="1" si="11"/>
        <v>East</v>
      </c>
      <c r="D97" t="str">
        <f t="shared" ca="1" si="12"/>
        <v>Meena</v>
      </c>
      <c r="E97" t="str">
        <f t="shared" ca="1" si="13"/>
        <v>Mouse</v>
      </c>
      <c r="F97">
        <f t="shared" ca="1" si="14"/>
        <v>8</v>
      </c>
      <c r="G97">
        <f t="shared" ca="1" si="15"/>
        <v>8000</v>
      </c>
      <c r="H97">
        <f t="shared" ca="1" si="16"/>
        <v>64000</v>
      </c>
    </row>
    <row r="98" spans="1:9" x14ac:dyDescent="0.2">
      <c r="A98">
        <f t="shared" si="10"/>
        <v>1097</v>
      </c>
      <c r="B98" s="1">
        <f t="shared" ref="B98:B129" ca="1" si="17">DATE(2025,RANDBETWEEN(1,3),RANDBETWEEN(1,28))</f>
        <v>45669</v>
      </c>
      <c r="C98" t="str">
        <f t="shared" ca="1" si="11"/>
        <v>South</v>
      </c>
      <c r="D98" t="str">
        <f t="shared" ca="1" si="12"/>
        <v>Priya</v>
      </c>
      <c r="E98" t="str">
        <f t="shared" ca="1" si="13"/>
        <v>Printer</v>
      </c>
      <c r="F98">
        <f t="shared" ca="1" si="14"/>
        <v>6</v>
      </c>
      <c r="G98">
        <f t="shared" ca="1" si="15"/>
        <v>8000</v>
      </c>
      <c r="H98">
        <f t="shared" ca="1" si="16"/>
        <v>48000</v>
      </c>
    </row>
    <row r="99" spans="1:9" x14ac:dyDescent="0.2">
      <c r="A99">
        <f t="shared" si="10"/>
        <v>1098</v>
      </c>
      <c r="B99" s="1">
        <f t="shared" ca="1" si="17"/>
        <v>45699</v>
      </c>
      <c r="C99" t="str">
        <f t="shared" ca="1" si="11"/>
        <v>North</v>
      </c>
      <c r="D99" t="str">
        <f t="shared" ca="1" si="12"/>
        <v>Kiran</v>
      </c>
      <c r="E99" t="str">
        <f t="shared" ca="1" si="13"/>
        <v>Laptop</v>
      </c>
      <c r="F99">
        <f t="shared" ca="1" si="14"/>
        <v>2</v>
      </c>
      <c r="G99">
        <f t="shared" ca="1" si="15"/>
        <v>50000</v>
      </c>
      <c r="H99">
        <f t="shared" ca="1" si="16"/>
        <v>100000</v>
      </c>
    </row>
    <row r="100" spans="1:9" x14ac:dyDescent="0.2">
      <c r="A100">
        <f t="shared" si="10"/>
        <v>1099</v>
      </c>
      <c r="B100" s="1">
        <f t="shared" ca="1" si="17"/>
        <v>45712</v>
      </c>
      <c r="C100" t="str">
        <f t="shared" ca="1" si="11"/>
        <v>West</v>
      </c>
      <c r="D100" t="str">
        <f t="shared" ca="1" si="12"/>
        <v>Meena</v>
      </c>
      <c r="E100" t="str">
        <f t="shared" ca="1" si="13"/>
        <v>Monitor</v>
      </c>
      <c r="F100">
        <f t="shared" ca="1" si="14"/>
        <v>1</v>
      </c>
      <c r="G100">
        <f t="shared" ca="1" si="15"/>
        <v>500</v>
      </c>
      <c r="H100">
        <f t="shared" ca="1" si="16"/>
        <v>500</v>
      </c>
    </row>
    <row r="101" spans="1:9" x14ac:dyDescent="0.2">
      <c r="A101">
        <f t="shared" si="10"/>
        <v>1100</v>
      </c>
      <c r="B101" s="1">
        <f t="shared" ca="1" si="17"/>
        <v>45730</v>
      </c>
      <c r="C101" t="str">
        <f t="shared" ca="1" si="11"/>
        <v>South</v>
      </c>
      <c r="D101" t="str">
        <f t="shared" ca="1" si="12"/>
        <v>Arun</v>
      </c>
      <c r="E101" t="str">
        <f t="shared" ca="1" si="13"/>
        <v>Keyboard</v>
      </c>
      <c r="F101">
        <f t="shared" ca="1" si="14"/>
        <v>8</v>
      </c>
      <c r="G101">
        <f t="shared" ca="1" si="15"/>
        <v>1500</v>
      </c>
      <c r="H101">
        <f t="shared" ca="1" si="16"/>
        <v>12000</v>
      </c>
    </row>
    <row r="102" spans="1:9" x14ac:dyDescent="0.2">
      <c r="A102">
        <f t="shared" si="10"/>
        <v>1101</v>
      </c>
      <c r="B102" s="1">
        <f t="shared" ca="1" si="17"/>
        <v>45740</v>
      </c>
      <c r="C102" t="str">
        <f t="shared" ca="1" si="11"/>
        <v>South</v>
      </c>
      <c r="D102" t="str">
        <f t="shared" ca="1" si="12"/>
        <v>Meena</v>
      </c>
      <c r="E102" t="str">
        <f t="shared" ca="1" si="13"/>
        <v>Mouse</v>
      </c>
      <c r="F102">
        <f t="shared" ca="1" si="14"/>
        <v>4</v>
      </c>
      <c r="G102">
        <f t="shared" ca="1" si="15"/>
        <v>50000</v>
      </c>
      <c r="H102">
        <f t="shared" ca="1" si="16"/>
        <v>200000</v>
      </c>
    </row>
    <row r="103" spans="1:9" x14ac:dyDescent="0.2">
      <c r="A103">
        <f t="shared" si="10"/>
        <v>1102</v>
      </c>
      <c r="B103" s="1">
        <f t="shared" ca="1" si="17"/>
        <v>45712</v>
      </c>
      <c r="C103" t="str">
        <f t="shared" ca="1" si="11"/>
        <v>North</v>
      </c>
      <c r="D103" t="str">
        <f t="shared" ca="1" si="12"/>
        <v>Meena</v>
      </c>
      <c r="E103" t="str">
        <f t="shared" ca="1" si="13"/>
        <v>Monitor</v>
      </c>
      <c r="F103">
        <f t="shared" ca="1" si="14"/>
        <v>9</v>
      </c>
      <c r="G103">
        <f t="shared" ca="1" si="15"/>
        <v>50000</v>
      </c>
      <c r="H103">
        <f t="shared" ca="1" si="16"/>
        <v>450000</v>
      </c>
    </row>
    <row r="104" spans="1:9" x14ac:dyDescent="0.2">
      <c r="A104">
        <f t="shared" si="10"/>
        <v>1103</v>
      </c>
      <c r="B104" s="1">
        <f t="shared" ca="1" si="17"/>
        <v>45666</v>
      </c>
      <c r="C104" t="str">
        <f t="shared" ca="1" si="11"/>
        <v>West</v>
      </c>
      <c r="D104" t="str">
        <f t="shared" ca="1" si="12"/>
        <v>Arun</v>
      </c>
      <c r="E104" t="str">
        <f t="shared" ca="1" si="13"/>
        <v>Keyboard</v>
      </c>
      <c r="F104">
        <f t="shared" ca="1" si="14"/>
        <v>7</v>
      </c>
      <c r="G104">
        <f t="shared" ca="1" si="15"/>
        <v>8000</v>
      </c>
      <c r="H104">
        <f t="shared" ca="1" si="16"/>
        <v>56000</v>
      </c>
      <c r="I104" t="s">
        <v>24</v>
      </c>
    </row>
    <row r="105" spans="1:9" x14ac:dyDescent="0.2">
      <c r="A105">
        <f t="shared" si="10"/>
        <v>1104</v>
      </c>
      <c r="B105" s="1">
        <f t="shared" ca="1" si="17"/>
        <v>45713</v>
      </c>
      <c r="C105" t="str">
        <f t="shared" ca="1" si="11"/>
        <v>South</v>
      </c>
      <c r="D105" t="str">
        <f t="shared" ca="1" si="12"/>
        <v>Meena</v>
      </c>
      <c r="E105" t="str">
        <f t="shared" ca="1" si="13"/>
        <v>Keyboard</v>
      </c>
      <c r="F105">
        <f t="shared" ca="1" si="14"/>
        <v>3</v>
      </c>
      <c r="G105">
        <f t="shared" ca="1" si="15"/>
        <v>1500</v>
      </c>
      <c r="H105">
        <f t="shared" ca="1" si="16"/>
        <v>4500</v>
      </c>
    </row>
    <row r="106" spans="1:9" x14ac:dyDescent="0.2">
      <c r="A106">
        <f t="shared" si="10"/>
        <v>1105</v>
      </c>
      <c r="B106" s="1">
        <f t="shared" ca="1" si="17"/>
        <v>45701</v>
      </c>
      <c r="C106" t="str">
        <f t="shared" ca="1" si="11"/>
        <v>North</v>
      </c>
      <c r="D106" t="str">
        <f t="shared" ca="1" si="12"/>
        <v>Kiran</v>
      </c>
      <c r="E106" t="str">
        <f t="shared" ca="1" si="13"/>
        <v>Printer</v>
      </c>
      <c r="F106">
        <f t="shared" ca="1" si="14"/>
        <v>5</v>
      </c>
      <c r="G106">
        <f t="shared" ca="1" si="15"/>
        <v>12000</v>
      </c>
      <c r="H106">
        <f t="shared" ca="1" si="16"/>
        <v>60000</v>
      </c>
    </row>
    <row r="107" spans="1:9" x14ac:dyDescent="0.2">
      <c r="A107">
        <f t="shared" si="10"/>
        <v>1106</v>
      </c>
      <c r="B107" s="1">
        <f t="shared" ca="1" si="17"/>
        <v>45658</v>
      </c>
      <c r="C107" t="str">
        <f t="shared" ca="1" si="11"/>
        <v>East</v>
      </c>
      <c r="D107" t="str">
        <f t="shared" ca="1" si="12"/>
        <v>Rahul</v>
      </c>
      <c r="E107" t="str">
        <f t="shared" ca="1" si="13"/>
        <v>Keyboard</v>
      </c>
      <c r="F107">
        <f t="shared" ca="1" si="14"/>
        <v>10</v>
      </c>
      <c r="G107">
        <f t="shared" ca="1" si="15"/>
        <v>50000</v>
      </c>
      <c r="H107">
        <f t="shared" ca="1" si="16"/>
        <v>500000</v>
      </c>
    </row>
    <row r="108" spans="1:9" x14ac:dyDescent="0.2">
      <c r="A108">
        <f t="shared" si="10"/>
        <v>1107</v>
      </c>
      <c r="B108" s="1">
        <f t="shared" ca="1" si="17"/>
        <v>45718</v>
      </c>
      <c r="C108" t="str">
        <f t="shared" ca="1" si="11"/>
        <v>South</v>
      </c>
      <c r="D108" t="str">
        <f t="shared" ca="1" si="12"/>
        <v>Rahul</v>
      </c>
      <c r="E108" t="str">
        <f t="shared" ca="1" si="13"/>
        <v>Mouse</v>
      </c>
      <c r="F108">
        <f t="shared" ca="1" si="14"/>
        <v>9</v>
      </c>
      <c r="G108">
        <f t="shared" ca="1" si="15"/>
        <v>500</v>
      </c>
      <c r="H108">
        <f t="shared" ca="1" si="16"/>
        <v>4500</v>
      </c>
    </row>
    <row r="109" spans="1:9" x14ac:dyDescent="0.2">
      <c r="A109">
        <f t="shared" si="10"/>
        <v>1108</v>
      </c>
      <c r="B109" s="1">
        <f t="shared" ca="1" si="17"/>
        <v>45730</v>
      </c>
      <c r="C109" t="str">
        <f t="shared" ca="1" si="11"/>
        <v>West</v>
      </c>
      <c r="D109" t="str">
        <f t="shared" ca="1" si="12"/>
        <v>Arun</v>
      </c>
      <c r="E109" t="str">
        <f t="shared" ca="1" si="13"/>
        <v>Keyboard</v>
      </c>
      <c r="F109">
        <f t="shared" ca="1" si="14"/>
        <v>1</v>
      </c>
      <c r="G109">
        <f t="shared" ca="1" si="15"/>
        <v>500</v>
      </c>
      <c r="H109">
        <f t="shared" ca="1" si="16"/>
        <v>500</v>
      </c>
    </row>
    <row r="110" spans="1:9" x14ac:dyDescent="0.2">
      <c r="A110">
        <f t="shared" si="10"/>
        <v>1109</v>
      </c>
      <c r="B110" s="1">
        <f t="shared" ca="1" si="17"/>
        <v>45732</v>
      </c>
      <c r="C110" t="str">
        <f t="shared" ca="1" si="11"/>
        <v>East</v>
      </c>
      <c r="D110" t="str">
        <f t="shared" ca="1" si="12"/>
        <v>Priya</v>
      </c>
      <c r="E110" t="str">
        <f t="shared" ca="1" si="13"/>
        <v>Keyboard</v>
      </c>
      <c r="F110">
        <f t="shared" ca="1" si="14"/>
        <v>9</v>
      </c>
      <c r="G110">
        <f t="shared" ca="1" si="15"/>
        <v>12000</v>
      </c>
      <c r="H110">
        <f t="shared" ca="1" si="16"/>
        <v>108000</v>
      </c>
    </row>
    <row r="111" spans="1:9" x14ac:dyDescent="0.2">
      <c r="A111">
        <f t="shared" si="10"/>
        <v>1110</v>
      </c>
      <c r="B111" s="1">
        <f t="shared" ca="1" si="17"/>
        <v>45733</v>
      </c>
      <c r="C111" t="str">
        <f t="shared" ca="1" si="11"/>
        <v>North</v>
      </c>
      <c r="D111" t="str">
        <f t="shared" ca="1" si="12"/>
        <v>Meena</v>
      </c>
      <c r="E111" t="str">
        <f t="shared" ca="1" si="13"/>
        <v>Keyboard</v>
      </c>
      <c r="F111">
        <f t="shared" ca="1" si="14"/>
        <v>5</v>
      </c>
      <c r="G111">
        <f t="shared" ca="1" si="15"/>
        <v>1500</v>
      </c>
      <c r="H111">
        <f t="shared" ca="1" si="16"/>
        <v>7500</v>
      </c>
    </row>
    <row r="112" spans="1:9" x14ac:dyDescent="0.2">
      <c r="A112">
        <f t="shared" si="10"/>
        <v>1111</v>
      </c>
      <c r="B112" s="1">
        <f t="shared" ca="1" si="17"/>
        <v>45664</v>
      </c>
      <c r="C112" t="str">
        <f t="shared" ca="1" si="11"/>
        <v>North</v>
      </c>
      <c r="D112" t="str">
        <f t="shared" ca="1" si="12"/>
        <v>Meena</v>
      </c>
      <c r="E112" t="str">
        <f t="shared" ca="1" si="13"/>
        <v>Keyboard</v>
      </c>
      <c r="F112">
        <f t="shared" ca="1" si="14"/>
        <v>5</v>
      </c>
      <c r="G112">
        <f t="shared" ca="1" si="15"/>
        <v>500</v>
      </c>
      <c r="H112">
        <f t="shared" ca="1" si="16"/>
        <v>2500</v>
      </c>
    </row>
    <row r="113" spans="1:8" x14ac:dyDescent="0.2">
      <c r="A113">
        <f t="shared" si="10"/>
        <v>1112</v>
      </c>
      <c r="B113" s="1">
        <f t="shared" ca="1" si="17"/>
        <v>45702</v>
      </c>
      <c r="C113" t="str">
        <f t="shared" ca="1" si="11"/>
        <v>East</v>
      </c>
      <c r="D113" t="str">
        <f t="shared" ca="1" si="12"/>
        <v>Rahul</v>
      </c>
      <c r="E113" t="str">
        <f t="shared" ca="1" si="13"/>
        <v>Laptop</v>
      </c>
      <c r="F113">
        <f t="shared" ca="1" si="14"/>
        <v>7</v>
      </c>
      <c r="G113">
        <f t="shared" ca="1" si="15"/>
        <v>50000</v>
      </c>
      <c r="H113">
        <f t="shared" ca="1" si="16"/>
        <v>350000</v>
      </c>
    </row>
    <row r="114" spans="1:8" x14ac:dyDescent="0.2">
      <c r="A114">
        <f t="shared" si="10"/>
        <v>1113</v>
      </c>
      <c r="B114" s="1">
        <f t="shared" ca="1" si="17"/>
        <v>45705</v>
      </c>
      <c r="C114" t="str">
        <f t="shared" ca="1" si="11"/>
        <v>South</v>
      </c>
      <c r="D114" t="str">
        <f t="shared" ca="1" si="12"/>
        <v>Arun</v>
      </c>
      <c r="E114" t="str">
        <f t="shared" ca="1" si="13"/>
        <v>Laptop</v>
      </c>
      <c r="F114">
        <f t="shared" ca="1" si="14"/>
        <v>8</v>
      </c>
      <c r="G114">
        <f t="shared" ca="1" si="15"/>
        <v>50000</v>
      </c>
      <c r="H114">
        <f t="shared" ca="1" si="16"/>
        <v>400000</v>
      </c>
    </row>
    <row r="115" spans="1:8" x14ac:dyDescent="0.2">
      <c r="A115">
        <f t="shared" si="10"/>
        <v>1114</v>
      </c>
      <c r="B115" s="1">
        <f t="shared" ca="1" si="17"/>
        <v>45661</v>
      </c>
      <c r="C115" t="str">
        <f t="shared" ca="1" si="11"/>
        <v>South</v>
      </c>
      <c r="D115" t="str">
        <f t="shared" ca="1" si="12"/>
        <v>Kiran</v>
      </c>
      <c r="E115" t="str">
        <f t="shared" ca="1" si="13"/>
        <v>Keyboard</v>
      </c>
      <c r="F115">
        <f t="shared" ca="1" si="14"/>
        <v>9</v>
      </c>
      <c r="G115">
        <f t="shared" ca="1" si="15"/>
        <v>500</v>
      </c>
      <c r="H115">
        <f t="shared" ca="1" si="16"/>
        <v>4500</v>
      </c>
    </row>
    <row r="116" spans="1:8" x14ac:dyDescent="0.2">
      <c r="A116">
        <f t="shared" si="10"/>
        <v>1115</v>
      </c>
      <c r="B116" s="1">
        <f t="shared" ca="1" si="17"/>
        <v>45712</v>
      </c>
      <c r="C116" t="str">
        <f t="shared" ca="1" si="11"/>
        <v>South</v>
      </c>
      <c r="D116" t="str">
        <f t="shared" ca="1" si="12"/>
        <v>Meena</v>
      </c>
      <c r="E116" t="str">
        <f t="shared" ca="1" si="13"/>
        <v>Monitor</v>
      </c>
      <c r="F116">
        <f t="shared" ca="1" si="14"/>
        <v>8</v>
      </c>
      <c r="G116">
        <f t="shared" ca="1" si="15"/>
        <v>500</v>
      </c>
      <c r="H116">
        <f t="shared" ca="1" si="16"/>
        <v>4000</v>
      </c>
    </row>
    <row r="117" spans="1:8" x14ac:dyDescent="0.2">
      <c r="A117">
        <f t="shared" si="10"/>
        <v>1116</v>
      </c>
      <c r="B117" s="1">
        <f t="shared" ca="1" si="17"/>
        <v>45698</v>
      </c>
      <c r="C117" t="str">
        <f t="shared" ca="1" si="11"/>
        <v>North</v>
      </c>
      <c r="D117" t="str">
        <f t="shared" ca="1" si="12"/>
        <v>Arun</v>
      </c>
      <c r="E117" t="str">
        <f t="shared" ca="1" si="13"/>
        <v>Monitor</v>
      </c>
      <c r="F117">
        <f t="shared" ca="1" si="14"/>
        <v>6</v>
      </c>
      <c r="G117">
        <f t="shared" ca="1" si="15"/>
        <v>500</v>
      </c>
      <c r="H117">
        <f t="shared" ca="1" si="16"/>
        <v>3000</v>
      </c>
    </row>
    <row r="118" spans="1:8" x14ac:dyDescent="0.2">
      <c r="A118">
        <f t="shared" si="10"/>
        <v>1117</v>
      </c>
      <c r="B118" s="1">
        <f t="shared" ca="1" si="17"/>
        <v>45699</v>
      </c>
      <c r="C118" t="str">
        <f t="shared" ca="1" si="11"/>
        <v>West</v>
      </c>
      <c r="D118" t="str">
        <f t="shared" ca="1" si="12"/>
        <v>Meena</v>
      </c>
      <c r="E118" t="str">
        <f t="shared" ca="1" si="13"/>
        <v>Printer</v>
      </c>
      <c r="F118">
        <f t="shared" ca="1" si="14"/>
        <v>3</v>
      </c>
      <c r="G118">
        <f t="shared" ca="1" si="15"/>
        <v>500</v>
      </c>
      <c r="H118">
        <f t="shared" ca="1" si="16"/>
        <v>1500</v>
      </c>
    </row>
    <row r="119" spans="1:8" x14ac:dyDescent="0.2">
      <c r="A119">
        <f t="shared" si="10"/>
        <v>1118</v>
      </c>
      <c r="B119" s="1">
        <f t="shared" ca="1" si="17"/>
        <v>45713</v>
      </c>
      <c r="C119" t="str">
        <f t="shared" ca="1" si="11"/>
        <v>West</v>
      </c>
      <c r="D119" t="str">
        <f t="shared" ca="1" si="12"/>
        <v>Arun</v>
      </c>
      <c r="E119" t="str">
        <f t="shared" ca="1" si="13"/>
        <v>Printer</v>
      </c>
      <c r="F119">
        <f t="shared" ca="1" si="14"/>
        <v>1</v>
      </c>
      <c r="G119">
        <f t="shared" ca="1" si="15"/>
        <v>8000</v>
      </c>
      <c r="H119">
        <f t="shared" ca="1" si="16"/>
        <v>8000</v>
      </c>
    </row>
    <row r="120" spans="1:8" x14ac:dyDescent="0.2">
      <c r="A120">
        <f t="shared" si="10"/>
        <v>1119</v>
      </c>
      <c r="B120" s="1">
        <f t="shared" ca="1" si="17"/>
        <v>45699</v>
      </c>
      <c r="C120" t="str">
        <f t="shared" ca="1" si="11"/>
        <v>South</v>
      </c>
      <c r="D120" t="str">
        <f t="shared" ca="1" si="12"/>
        <v>Arun</v>
      </c>
      <c r="E120" t="str">
        <f t="shared" ca="1" si="13"/>
        <v>Monitor</v>
      </c>
      <c r="F120">
        <f t="shared" ca="1" si="14"/>
        <v>2</v>
      </c>
      <c r="G120">
        <f t="shared" ca="1" si="15"/>
        <v>1500</v>
      </c>
      <c r="H120">
        <f t="shared" ca="1" si="16"/>
        <v>3000</v>
      </c>
    </row>
    <row r="121" spans="1:8" x14ac:dyDescent="0.2">
      <c r="A121">
        <f t="shared" si="10"/>
        <v>1120</v>
      </c>
      <c r="B121" s="1">
        <f t="shared" ca="1" si="17"/>
        <v>45728</v>
      </c>
      <c r="C121" t="str">
        <f t="shared" ca="1" si="11"/>
        <v>West</v>
      </c>
      <c r="D121" t="str">
        <f t="shared" ca="1" si="12"/>
        <v>Priya</v>
      </c>
      <c r="E121" t="str">
        <f t="shared" ca="1" si="13"/>
        <v>Keyboard</v>
      </c>
      <c r="F121">
        <f t="shared" ca="1" si="14"/>
        <v>5</v>
      </c>
      <c r="G121">
        <f t="shared" ca="1" si="15"/>
        <v>50000</v>
      </c>
      <c r="H121">
        <f t="shared" ca="1" si="16"/>
        <v>250000</v>
      </c>
    </row>
    <row r="122" spans="1:8" x14ac:dyDescent="0.2">
      <c r="A122">
        <f t="shared" si="10"/>
        <v>1121</v>
      </c>
      <c r="B122" s="1">
        <f t="shared" ca="1" si="17"/>
        <v>45663</v>
      </c>
      <c r="C122" t="str">
        <f t="shared" ca="1" si="11"/>
        <v>South</v>
      </c>
      <c r="D122" t="str">
        <f t="shared" ca="1" si="12"/>
        <v>Meena</v>
      </c>
      <c r="E122" t="str">
        <f t="shared" ca="1" si="13"/>
        <v>Monitor</v>
      </c>
      <c r="F122">
        <f t="shared" ca="1" si="14"/>
        <v>1</v>
      </c>
      <c r="G122">
        <f t="shared" ca="1" si="15"/>
        <v>1500</v>
      </c>
      <c r="H122">
        <f t="shared" ca="1" si="16"/>
        <v>1500</v>
      </c>
    </row>
    <row r="123" spans="1:8" x14ac:dyDescent="0.2">
      <c r="A123">
        <f t="shared" si="10"/>
        <v>1122</v>
      </c>
      <c r="B123" s="1">
        <f t="shared" ca="1" si="17"/>
        <v>45674</v>
      </c>
      <c r="C123" t="str">
        <f t="shared" ca="1" si="11"/>
        <v>North</v>
      </c>
      <c r="D123" t="str">
        <f t="shared" ca="1" si="12"/>
        <v>Meena</v>
      </c>
      <c r="E123" t="str">
        <f t="shared" ca="1" si="13"/>
        <v>Printer</v>
      </c>
      <c r="F123">
        <f t="shared" ca="1" si="14"/>
        <v>5</v>
      </c>
      <c r="G123">
        <f t="shared" ca="1" si="15"/>
        <v>50000</v>
      </c>
      <c r="H123">
        <f t="shared" ca="1" si="16"/>
        <v>250000</v>
      </c>
    </row>
    <row r="124" spans="1:8" x14ac:dyDescent="0.2">
      <c r="A124">
        <f t="shared" si="10"/>
        <v>1123</v>
      </c>
      <c r="B124" s="1">
        <f t="shared" ca="1" si="17"/>
        <v>45721</v>
      </c>
      <c r="C124" t="str">
        <f t="shared" ca="1" si="11"/>
        <v>East</v>
      </c>
      <c r="D124" t="str">
        <f t="shared" ca="1" si="12"/>
        <v>Priya</v>
      </c>
      <c r="E124" t="str">
        <f t="shared" ca="1" si="13"/>
        <v>Laptop</v>
      </c>
      <c r="F124">
        <f t="shared" ca="1" si="14"/>
        <v>3</v>
      </c>
      <c r="G124">
        <f t="shared" ca="1" si="15"/>
        <v>8000</v>
      </c>
      <c r="H124">
        <f t="shared" ca="1" si="16"/>
        <v>24000</v>
      </c>
    </row>
    <row r="125" spans="1:8" x14ac:dyDescent="0.2">
      <c r="A125">
        <f t="shared" si="10"/>
        <v>1124</v>
      </c>
      <c r="B125" s="1">
        <f t="shared" ca="1" si="17"/>
        <v>45729</v>
      </c>
      <c r="C125" t="str">
        <f t="shared" ca="1" si="11"/>
        <v>East</v>
      </c>
      <c r="D125" t="str">
        <f t="shared" ca="1" si="12"/>
        <v>Meena</v>
      </c>
      <c r="E125" t="str">
        <f t="shared" ca="1" si="13"/>
        <v>Monitor</v>
      </c>
      <c r="F125">
        <f t="shared" ca="1" si="14"/>
        <v>6</v>
      </c>
      <c r="G125">
        <f t="shared" ca="1" si="15"/>
        <v>500</v>
      </c>
      <c r="H125">
        <f t="shared" ca="1" si="16"/>
        <v>3000</v>
      </c>
    </row>
    <row r="126" spans="1:8" x14ac:dyDescent="0.2">
      <c r="A126">
        <f t="shared" si="10"/>
        <v>1125</v>
      </c>
      <c r="B126" s="1">
        <f t="shared" ca="1" si="17"/>
        <v>45710</v>
      </c>
      <c r="C126" t="str">
        <f t="shared" ca="1" si="11"/>
        <v>North</v>
      </c>
      <c r="D126" t="str">
        <f t="shared" ca="1" si="12"/>
        <v>Arun</v>
      </c>
      <c r="E126" t="str">
        <f t="shared" ca="1" si="13"/>
        <v>Keyboard</v>
      </c>
      <c r="F126">
        <f t="shared" ca="1" si="14"/>
        <v>8</v>
      </c>
      <c r="G126">
        <f t="shared" ca="1" si="15"/>
        <v>8000</v>
      </c>
      <c r="H126">
        <f t="shared" ca="1" si="16"/>
        <v>64000</v>
      </c>
    </row>
    <row r="127" spans="1:8" x14ac:dyDescent="0.2">
      <c r="A127">
        <f t="shared" si="10"/>
        <v>1126</v>
      </c>
      <c r="B127" s="1">
        <f t="shared" ca="1" si="17"/>
        <v>45716</v>
      </c>
      <c r="C127" t="str">
        <f t="shared" ca="1" si="11"/>
        <v>East</v>
      </c>
      <c r="D127" t="str">
        <f t="shared" ca="1" si="12"/>
        <v>Meena</v>
      </c>
      <c r="E127" t="str">
        <f t="shared" ca="1" si="13"/>
        <v>Printer</v>
      </c>
      <c r="F127">
        <f t="shared" ca="1" si="14"/>
        <v>5</v>
      </c>
      <c r="G127">
        <f t="shared" ca="1" si="15"/>
        <v>1500</v>
      </c>
      <c r="H127">
        <f t="shared" ca="1" si="16"/>
        <v>7500</v>
      </c>
    </row>
    <row r="128" spans="1:8" x14ac:dyDescent="0.2">
      <c r="A128">
        <f t="shared" si="10"/>
        <v>1127</v>
      </c>
      <c r="B128" s="1">
        <f t="shared" ca="1" si="17"/>
        <v>45660</v>
      </c>
      <c r="C128" t="str">
        <f t="shared" ca="1" si="11"/>
        <v>North</v>
      </c>
      <c r="D128" t="str">
        <f t="shared" ca="1" si="12"/>
        <v>Kiran</v>
      </c>
      <c r="E128" t="str">
        <f t="shared" ca="1" si="13"/>
        <v>Mouse</v>
      </c>
      <c r="F128">
        <f t="shared" ca="1" si="14"/>
        <v>9</v>
      </c>
      <c r="G128">
        <f t="shared" ca="1" si="15"/>
        <v>8000</v>
      </c>
      <c r="H128">
        <f t="shared" ca="1" si="16"/>
        <v>72000</v>
      </c>
    </row>
    <row r="129" spans="1:8" x14ac:dyDescent="0.2">
      <c r="A129">
        <f t="shared" si="10"/>
        <v>1128</v>
      </c>
      <c r="B129" s="1">
        <f t="shared" ca="1" si="17"/>
        <v>45704</v>
      </c>
      <c r="C129" t="str">
        <f t="shared" ca="1" si="11"/>
        <v>East</v>
      </c>
      <c r="D129" t="str">
        <f t="shared" ca="1" si="12"/>
        <v>Meena</v>
      </c>
      <c r="E129" t="str">
        <f t="shared" ca="1" si="13"/>
        <v>Keyboard</v>
      </c>
      <c r="F129">
        <f t="shared" ca="1" si="14"/>
        <v>3</v>
      </c>
      <c r="G129">
        <f t="shared" ca="1" si="15"/>
        <v>12000</v>
      </c>
      <c r="H129">
        <f t="shared" ca="1" si="16"/>
        <v>36000</v>
      </c>
    </row>
    <row r="130" spans="1:8" x14ac:dyDescent="0.2">
      <c r="A130">
        <f t="shared" si="10"/>
        <v>1129</v>
      </c>
      <c r="B130" s="1">
        <f t="shared" ref="B130:B161" ca="1" si="18">DATE(2025,RANDBETWEEN(1,3),RANDBETWEEN(1,28))</f>
        <v>45729</v>
      </c>
      <c r="C130" t="str">
        <f t="shared" ca="1" si="11"/>
        <v>North</v>
      </c>
      <c r="D130" t="str">
        <f t="shared" ca="1" si="12"/>
        <v>Kiran</v>
      </c>
      <c r="E130" t="str">
        <f t="shared" ca="1" si="13"/>
        <v>Keyboard</v>
      </c>
      <c r="F130">
        <f t="shared" ca="1" si="14"/>
        <v>1</v>
      </c>
      <c r="G130">
        <f t="shared" ca="1" si="15"/>
        <v>8000</v>
      </c>
      <c r="H130">
        <f t="shared" ca="1" si="16"/>
        <v>8000</v>
      </c>
    </row>
    <row r="131" spans="1:8" x14ac:dyDescent="0.2">
      <c r="A131">
        <f t="shared" ref="A131:A194" si="19">1000+ROW()-1</f>
        <v>1130</v>
      </c>
      <c r="B131" s="1">
        <f t="shared" ca="1" si="18"/>
        <v>45700</v>
      </c>
      <c r="C131" t="str">
        <f t="shared" ref="C131:C194" ca="1" si="20">CHOOSE(RANDBETWEEN(1,4),"North","South","East","West")</f>
        <v>South</v>
      </c>
      <c r="D131" t="str">
        <f t="shared" ref="D131:D194" ca="1" si="21">CHOOSE(RANDBETWEEN(1,5),"Arun","Priya","Rahul","Meena","Kiran")</f>
        <v>Meena</v>
      </c>
      <c r="E131" t="str">
        <f t="shared" ref="E131:E194" ca="1" si="22">CHOOSE(RANDBETWEEN(1,5),"Laptop","Mouse","Keyboard","Monitor","Printer")</f>
        <v>Printer</v>
      </c>
      <c r="F131">
        <f t="shared" ref="F131:F194" ca="1" si="23">RANDBETWEEN(1,10)</f>
        <v>10</v>
      </c>
      <c r="G131">
        <f t="shared" ref="G131:G194" ca="1" si="24">CHOOSE(RANDBETWEEN(1,5),50000,500,1500,12000,8000)</f>
        <v>8000</v>
      </c>
      <c r="H131">
        <f t="shared" ref="H131:H194" ca="1" si="25">F131*G131</f>
        <v>80000</v>
      </c>
    </row>
    <row r="132" spans="1:8" x14ac:dyDescent="0.2">
      <c r="A132">
        <f t="shared" si="19"/>
        <v>1131</v>
      </c>
      <c r="B132" s="1">
        <f t="shared" ca="1" si="18"/>
        <v>45675</v>
      </c>
      <c r="C132" t="str">
        <f t="shared" ca="1" si="20"/>
        <v>East</v>
      </c>
      <c r="D132" t="str">
        <f t="shared" ca="1" si="21"/>
        <v>Kiran</v>
      </c>
      <c r="E132" t="str">
        <f t="shared" ca="1" si="22"/>
        <v>Laptop</v>
      </c>
      <c r="F132">
        <f t="shared" ca="1" si="23"/>
        <v>3</v>
      </c>
      <c r="G132">
        <f t="shared" ca="1" si="24"/>
        <v>1500</v>
      </c>
      <c r="H132">
        <f t="shared" ca="1" si="25"/>
        <v>4500</v>
      </c>
    </row>
    <row r="133" spans="1:8" x14ac:dyDescent="0.2">
      <c r="A133">
        <f t="shared" si="19"/>
        <v>1132</v>
      </c>
      <c r="B133" s="1">
        <f t="shared" ca="1" si="18"/>
        <v>45682</v>
      </c>
      <c r="C133" t="str">
        <f t="shared" ca="1" si="20"/>
        <v>West</v>
      </c>
      <c r="D133" t="str">
        <f t="shared" ca="1" si="21"/>
        <v>Kiran</v>
      </c>
      <c r="E133" t="str">
        <f t="shared" ca="1" si="22"/>
        <v>Monitor</v>
      </c>
      <c r="F133">
        <f t="shared" ca="1" si="23"/>
        <v>10</v>
      </c>
      <c r="G133">
        <f t="shared" ca="1" si="24"/>
        <v>12000</v>
      </c>
      <c r="H133">
        <f t="shared" ca="1" si="25"/>
        <v>120000</v>
      </c>
    </row>
    <row r="134" spans="1:8" x14ac:dyDescent="0.2">
      <c r="A134">
        <f t="shared" si="19"/>
        <v>1133</v>
      </c>
      <c r="B134" s="1">
        <f t="shared" ca="1" si="18"/>
        <v>45690</v>
      </c>
      <c r="C134" t="str">
        <f t="shared" ca="1" si="20"/>
        <v>East</v>
      </c>
      <c r="D134" t="str">
        <f t="shared" ca="1" si="21"/>
        <v>Meena</v>
      </c>
      <c r="E134" t="str">
        <f t="shared" ca="1" si="22"/>
        <v>Monitor</v>
      </c>
      <c r="F134">
        <f t="shared" ca="1" si="23"/>
        <v>8</v>
      </c>
      <c r="G134">
        <f t="shared" ca="1" si="24"/>
        <v>50000</v>
      </c>
      <c r="H134">
        <f t="shared" ca="1" si="25"/>
        <v>400000</v>
      </c>
    </row>
    <row r="135" spans="1:8" x14ac:dyDescent="0.2">
      <c r="A135">
        <f t="shared" si="19"/>
        <v>1134</v>
      </c>
      <c r="B135" s="1">
        <f t="shared" ca="1" si="18"/>
        <v>45675</v>
      </c>
      <c r="C135" t="str">
        <f t="shared" ca="1" si="20"/>
        <v>East</v>
      </c>
      <c r="D135" t="str">
        <f t="shared" ca="1" si="21"/>
        <v>Kiran</v>
      </c>
      <c r="E135" t="str">
        <f t="shared" ca="1" si="22"/>
        <v>Monitor</v>
      </c>
      <c r="F135">
        <f t="shared" ca="1" si="23"/>
        <v>2</v>
      </c>
      <c r="G135">
        <f t="shared" ca="1" si="24"/>
        <v>1500</v>
      </c>
      <c r="H135">
        <f t="shared" ca="1" si="25"/>
        <v>3000</v>
      </c>
    </row>
    <row r="136" spans="1:8" x14ac:dyDescent="0.2">
      <c r="A136">
        <f t="shared" si="19"/>
        <v>1135</v>
      </c>
      <c r="B136" s="1">
        <f t="shared" ca="1" si="18"/>
        <v>45702</v>
      </c>
      <c r="C136" t="str">
        <f t="shared" ca="1" si="20"/>
        <v>North</v>
      </c>
      <c r="D136" t="str">
        <f t="shared" ca="1" si="21"/>
        <v>Kiran</v>
      </c>
      <c r="E136" t="str">
        <f t="shared" ca="1" si="22"/>
        <v>Keyboard</v>
      </c>
      <c r="F136">
        <f t="shared" ca="1" si="23"/>
        <v>1</v>
      </c>
      <c r="G136">
        <f t="shared" ca="1" si="24"/>
        <v>8000</v>
      </c>
      <c r="H136">
        <f t="shared" ca="1" si="25"/>
        <v>8000</v>
      </c>
    </row>
    <row r="137" spans="1:8" x14ac:dyDescent="0.2">
      <c r="A137">
        <f t="shared" si="19"/>
        <v>1136</v>
      </c>
      <c r="B137" s="1">
        <f t="shared" ca="1" si="18"/>
        <v>45664</v>
      </c>
      <c r="C137" t="str">
        <f t="shared" ca="1" si="20"/>
        <v>North</v>
      </c>
      <c r="D137" t="str">
        <f t="shared" ca="1" si="21"/>
        <v>Arun</v>
      </c>
      <c r="E137" t="str">
        <f t="shared" ca="1" si="22"/>
        <v>Laptop</v>
      </c>
      <c r="F137">
        <f t="shared" ca="1" si="23"/>
        <v>3</v>
      </c>
      <c r="G137">
        <f t="shared" ca="1" si="24"/>
        <v>50000</v>
      </c>
      <c r="H137">
        <f t="shared" ca="1" si="25"/>
        <v>150000</v>
      </c>
    </row>
    <row r="138" spans="1:8" x14ac:dyDescent="0.2">
      <c r="A138">
        <f t="shared" si="19"/>
        <v>1137</v>
      </c>
      <c r="B138" s="1">
        <f t="shared" ca="1" si="18"/>
        <v>45663</v>
      </c>
      <c r="C138" t="str">
        <f t="shared" ca="1" si="20"/>
        <v>South</v>
      </c>
      <c r="D138" t="str">
        <f t="shared" ca="1" si="21"/>
        <v>Kiran</v>
      </c>
      <c r="E138" t="str">
        <f t="shared" ca="1" si="22"/>
        <v>Laptop</v>
      </c>
      <c r="F138">
        <f t="shared" ca="1" si="23"/>
        <v>4</v>
      </c>
      <c r="G138">
        <f t="shared" ca="1" si="24"/>
        <v>12000</v>
      </c>
      <c r="H138">
        <f t="shared" ca="1" si="25"/>
        <v>48000</v>
      </c>
    </row>
    <row r="139" spans="1:8" x14ac:dyDescent="0.2">
      <c r="A139">
        <f t="shared" si="19"/>
        <v>1138</v>
      </c>
      <c r="B139" s="1">
        <f t="shared" ca="1" si="18"/>
        <v>45740</v>
      </c>
      <c r="C139" t="str">
        <f t="shared" ca="1" si="20"/>
        <v>North</v>
      </c>
      <c r="D139" t="str">
        <f t="shared" ca="1" si="21"/>
        <v>Rahul</v>
      </c>
      <c r="E139" t="str">
        <f t="shared" ca="1" si="22"/>
        <v>Printer</v>
      </c>
      <c r="F139">
        <f t="shared" ca="1" si="23"/>
        <v>9</v>
      </c>
      <c r="G139">
        <f t="shared" ca="1" si="24"/>
        <v>12000</v>
      </c>
      <c r="H139">
        <f t="shared" ca="1" si="25"/>
        <v>108000</v>
      </c>
    </row>
    <row r="140" spans="1:8" x14ac:dyDescent="0.2">
      <c r="A140">
        <f t="shared" si="19"/>
        <v>1139</v>
      </c>
      <c r="B140" s="1">
        <f t="shared" ca="1" si="18"/>
        <v>45695</v>
      </c>
      <c r="C140" t="str">
        <f t="shared" ca="1" si="20"/>
        <v>South</v>
      </c>
      <c r="D140" t="str">
        <f t="shared" ca="1" si="21"/>
        <v>Rahul</v>
      </c>
      <c r="E140" t="str">
        <f t="shared" ca="1" si="22"/>
        <v>Mouse</v>
      </c>
      <c r="F140">
        <f t="shared" ca="1" si="23"/>
        <v>8</v>
      </c>
      <c r="G140">
        <f t="shared" ca="1" si="24"/>
        <v>50000</v>
      </c>
      <c r="H140">
        <f t="shared" ca="1" si="25"/>
        <v>400000</v>
      </c>
    </row>
    <row r="141" spans="1:8" x14ac:dyDescent="0.2">
      <c r="A141">
        <f t="shared" si="19"/>
        <v>1140</v>
      </c>
      <c r="B141" s="1">
        <f t="shared" ca="1" si="18"/>
        <v>45695</v>
      </c>
      <c r="C141" t="str">
        <f t="shared" ca="1" si="20"/>
        <v>North</v>
      </c>
      <c r="D141" t="str">
        <f t="shared" ca="1" si="21"/>
        <v>Kiran</v>
      </c>
      <c r="E141" t="str">
        <f t="shared" ca="1" si="22"/>
        <v>Printer</v>
      </c>
      <c r="F141">
        <f t="shared" ca="1" si="23"/>
        <v>7</v>
      </c>
      <c r="G141">
        <f t="shared" ca="1" si="24"/>
        <v>50000</v>
      </c>
      <c r="H141">
        <f t="shared" ca="1" si="25"/>
        <v>350000</v>
      </c>
    </row>
    <row r="142" spans="1:8" x14ac:dyDescent="0.2">
      <c r="A142">
        <f t="shared" si="19"/>
        <v>1141</v>
      </c>
      <c r="B142" s="1">
        <f t="shared" ca="1" si="18"/>
        <v>45695</v>
      </c>
      <c r="C142" t="str">
        <f t="shared" ca="1" si="20"/>
        <v>West</v>
      </c>
      <c r="D142" t="str">
        <f t="shared" ca="1" si="21"/>
        <v>Kiran</v>
      </c>
      <c r="E142" t="str">
        <f t="shared" ca="1" si="22"/>
        <v>Laptop</v>
      </c>
      <c r="F142">
        <f t="shared" ca="1" si="23"/>
        <v>4</v>
      </c>
      <c r="G142">
        <f t="shared" ca="1" si="24"/>
        <v>12000</v>
      </c>
      <c r="H142">
        <f t="shared" ca="1" si="25"/>
        <v>48000</v>
      </c>
    </row>
    <row r="143" spans="1:8" x14ac:dyDescent="0.2">
      <c r="A143">
        <f t="shared" si="19"/>
        <v>1142</v>
      </c>
      <c r="B143" s="1">
        <f t="shared" ca="1" si="18"/>
        <v>45731</v>
      </c>
      <c r="C143" t="str">
        <f t="shared" ca="1" si="20"/>
        <v>South</v>
      </c>
      <c r="D143" t="str">
        <f t="shared" ca="1" si="21"/>
        <v>Kiran</v>
      </c>
      <c r="E143" t="str">
        <f t="shared" ca="1" si="22"/>
        <v>Keyboard</v>
      </c>
      <c r="F143">
        <f t="shared" ca="1" si="23"/>
        <v>5</v>
      </c>
      <c r="G143">
        <f t="shared" ca="1" si="24"/>
        <v>500</v>
      </c>
      <c r="H143">
        <f t="shared" ca="1" si="25"/>
        <v>2500</v>
      </c>
    </row>
    <row r="144" spans="1:8" x14ac:dyDescent="0.2">
      <c r="A144">
        <f t="shared" si="19"/>
        <v>1143</v>
      </c>
      <c r="B144" s="1">
        <f t="shared" ca="1" si="18"/>
        <v>45680</v>
      </c>
      <c r="C144" t="str">
        <f t="shared" ca="1" si="20"/>
        <v>North</v>
      </c>
      <c r="D144" t="str">
        <f t="shared" ca="1" si="21"/>
        <v>Arun</v>
      </c>
      <c r="E144" t="str">
        <f t="shared" ca="1" si="22"/>
        <v>Monitor</v>
      </c>
      <c r="F144">
        <f t="shared" ca="1" si="23"/>
        <v>8</v>
      </c>
      <c r="G144">
        <f t="shared" ca="1" si="24"/>
        <v>50000</v>
      </c>
      <c r="H144">
        <f t="shared" ca="1" si="25"/>
        <v>400000</v>
      </c>
    </row>
    <row r="145" spans="1:8" x14ac:dyDescent="0.2">
      <c r="A145">
        <f t="shared" si="19"/>
        <v>1144</v>
      </c>
      <c r="B145" s="1">
        <f t="shared" ca="1" si="18"/>
        <v>45660</v>
      </c>
      <c r="C145" t="str">
        <f t="shared" ca="1" si="20"/>
        <v>South</v>
      </c>
      <c r="D145" t="str">
        <f t="shared" ca="1" si="21"/>
        <v>Rahul</v>
      </c>
      <c r="E145" t="str">
        <f t="shared" ca="1" si="22"/>
        <v>Keyboard</v>
      </c>
      <c r="F145">
        <f t="shared" ca="1" si="23"/>
        <v>3</v>
      </c>
      <c r="G145">
        <f t="shared" ca="1" si="24"/>
        <v>8000</v>
      </c>
      <c r="H145">
        <f t="shared" ca="1" si="25"/>
        <v>24000</v>
      </c>
    </row>
    <row r="146" spans="1:8" x14ac:dyDescent="0.2">
      <c r="A146">
        <f t="shared" si="19"/>
        <v>1145</v>
      </c>
      <c r="B146" s="1">
        <f t="shared" ca="1" si="18"/>
        <v>45741</v>
      </c>
      <c r="C146" t="str">
        <f t="shared" ca="1" si="20"/>
        <v>East</v>
      </c>
      <c r="D146" t="str">
        <f t="shared" ca="1" si="21"/>
        <v>Rahul</v>
      </c>
      <c r="E146" t="str">
        <f t="shared" ca="1" si="22"/>
        <v>Laptop</v>
      </c>
      <c r="F146">
        <f t="shared" ca="1" si="23"/>
        <v>5</v>
      </c>
      <c r="G146">
        <f t="shared" ca="1" si="24"/>
        <v>12000</v>
      </c>
      <c r="H146">
        <f t="shared" ca="1" si="25"/>
        <v>60000</v>
      </c>
    </row>
    <row r="147" spans="1:8" x14ac:dyDescent="0.2">
      <c r="A147">
        <f t="shared" si="19"/>
        <v>1146</v>
      </c>
      <c r="B147" s="1">
        <f t="shared" ca="1" si="18"/>
        <v>45689</v>
      </c>
      <c r="C147" t="str">
        <f t="shared" ca="1" si="20"/>
        <v>North</v>
      </c>
      <c r="D147" t="str">
        <f t="shared" ca="1" si="21"/>
        <v>Kiran</v>
      </c>
      <c r="E147" t="str">
        <f t="shared" ca="1" si="22"/>
        <v>Keyboard</v>
      </c>
      <c r="F147">
        <f t="shared" ca="1" si="23"/>
        <v>9</v>
      </c>
      <c r="G147">
        <f t="shared" ca="1" si="24"/>
        <v>50000</v>
      </c>
      <c r="H147">
        <f t="shared" ca="1" si="25"/>
        <v>450000</v>
      </c>
    </row>
    <row r="148" spans="1:8" x14ac:dyDescent="0.2">
      <c r="A148">
        <f t="shared" si="19"/>
        <v>1147</v>
      </c>
      <c r="B148" s="1">
        <f t="shared" ca="1" si="18"/>
        <v>45727</v>
      </c>
      <c r="C148" t="str">
        <f t="shared" ca="1" si="20"/>
        <v>East</v>
      </c>
      <c r="D148" t="str">
        <f t="shared" ca="1" si="21"/>
        <v>Arun</v>
      </c>
      <c r="E148" t="str">
        <f t="shared" ca="1" si="22"/>
        <v>Printer</v>
      </c>
      <c r="F148">
        <f t="shared" ca="1" si="23"/>
        <v>2</v>
      </c>
      <c r="G148">
        <f t="shared" ca="1" si="24"/>
        <v>8000</v>
      </c>
      <c r="H148">
        <f t="shared" ca="1" si="25"/>
        <v>16000</v>
      </c>
    </row>
    <row r="149" spans="1:8" x14ac:dyDescent="0.2">
      <c r="A149">
        <f t="shared" si="19"/>
        <v>1148</v>
      </c>
      <c r="B149" s="1">
        <f t="shared" ca="1" si="18"/>
        <v>45675</v>
      </c>
      <c r="C149" t="str">
        <f t="shared" ca="1" si="20"/>
        <v>West</v>
      </c>
      <c r="D149" t="str">
        <f t="shared" ca="1" si="21"/>
        <v>Rahul</v>
      </c>
      <c r="E149" t="str">
        <f t="shared" ca="1" si="22"/>
        <v>Monitor</v>
      </c>
      <c r="F149">
        <f t="shared" ca="1" si="23"/>
        <v>1</v>
      </c>
      <c r="G149">
        <f t="shared" ca="1" si="24"/>
        <v>8000</v>
      </c>
      <c r="H149">
        <f t="shared" ca="1" si="25"/>
        <v>8000</v>
      </c>
    </row>
    <row r="150" spans="1:8" x14ac:dyDescent="0.2">
      <c r="A150">
        <f t="shared" si="19"/>
        <v>1149</v>
      </c>
      <c r="B150" s="1">
        <f t="shared" ca="1" si="18"/>
        <v>45700</v>
      </c>
      <c r="C150" t="str">
        <f t="shared" ca="1" si="20"/>
        <v>South</v>
      </c>
      <c r="D150" t="str">
        <f t="shared" ca="1" si="21"/>
        <v>Arun</v>
      </c>
      <c r="E150" t="str">
        <f t="shared" ca="1" si="22"/>
        <v>Keyboard</v>
      </c>
      <c r="F150">
        <f t="shared" ca="1" si="23"/>
        <v>9</v>
      </c>
      <c r="G150">
        <f t="shared" ca="1" si="24"/>
        <v>50000</v>
      </c>
      <c r="H150">
        <f t="shared" ca="1" si="25"/>
        <v>450000</v>
      </c>
    </row>
    <row r="151" spans="1:8" x14ac:dyDescent="0.2">
      <c r="A151">
        <f t="shared" si="19"/>
        <v>1150</v>
      </c>
      <c r="B151" s="1">
        <f t="shared" ca="1" si="18"/>
        <v>45673</v>
      </c>
      <c r="C151" t="str">
        <f t="shared" ca="1" si="20"/>
        <v>North</v>
      </c>
      <c r="D151" t="str">
        <f t="shared" ca="1" si="21"/>
        <v>Priya</v>
      </c>
      <c r="E151" t="str">
        <f t="shared" ca="1" si="22"/>
        <v>Printer</v>
      </c>
      <c r="F151">
        <f t="shared" ca="1" si="23"/>
        <v>8</v>
      </c>
      <c r="G151">
        <f t="shared" ca="1" si="24"/>
        <v>50000</v>
      </c>
      <c r="H151">
        <f t="shared" ca="1" si="25"/>
        <v>400000</v>
      </c>
    </row>
    <row r="152" spans="1:8" x14ac:dyDescent="0.2">
      <c r="A152">
        <f t="shared" si="19"/>
        <v>1151</v>
      </c>
      <c r="B152" s="1">
        <f t="shared" ca="1" si="18"/>
        <v>45730</v>
      </c>
      <c r="C152" t="str">
        <f t="shared" ca="1" si="20"/>
        <v>North</v>
      </c>
      <c r="D152" t="str">
        <f t="shared" ca="1" si="21"/>
        <v>Rahul</v>
      </c>
      <c r="E152" t="str">
        <f t="shared" ca="1" si="22"/>
        <v>Monitor</v>
      </c>
      <c r="F152">
        <f t="shared" ca="1" si="23"/>
        <v>2</v>
      </c>
      <c r="G152">
        <f t="shared" ca="1" si="24"/>
        <v>50000</v>
      </c>
      <c r="H152">
        <f t="shared" ca="1" si="25"/>
        <v>100000</v>
      </c>
    </row>
    <row r="153" spans="1:8" x14ac:dyDescent="0.2">
      <c r="A153">
        <f t="shared" si="19"/>
        <v>1152</v>
      </c>
      <c r="B153" s="1">
        <f t="shared" ca="1" si="18"/>
        <v>45685</v>
      </c>
      <c r="C153" t="str">
        <f t="shared" ca="1" si="20"/>
        <v>West</v>
      </c>
      <c r="D153" t="str">
        <f t="shared" ca="1" si="21"/>
        <v>Meena</v>
      </c>
      <c r="E153" t="str">
        <f t="shared" ca="1" si="22"/>
        <v>Laptop</v>
      </c>
      <c r="F153">
        <f t="shared" ca="1" si="23"/>
        <v>5</v>
      </c>
      <c r="G153">
        <f t="shared" ca="1" si="24"/>
        <v>50000</v>
      </c>
      <c r="H153">
        <f t="shared" ca="1" si="25"/>
        <v>250000</v>
      </c>
    </row>
    <row r="154" spans="1:8" x14ac:dyDescent="0.2">
      <c r="A154">
        <f t="shared" si="19"/>
        <v>1153</v>
      </c>
      <c r="B154" s="1">
        <f t="shared" ca="1" si="18"/>
        <v>45678</v>
      </c>
      <c r="C154" t="str">
        <f t="shared" ca="1" si="20"/>
        <v>South</v>
      </c>
      <c r="D154" t="str">
        <f t="shared" ca="1" si="21"/>
        <v>Arun</v>
      </c>
      <c r="E154" t="str">
        <f t="shared" ca="1" si="22"/>
        <v>Laptop</v>
      </c>
      <c r="F154">
        <f t="shared" ca="1" si="23"/>
        <v>8</v>
      </c>
      <c r="G154">
        <f t="shared" ca="1" si="24"/>
        <v>500</v>
      </c>
      <c r="H154">
        <f t="shared" ca="1" si="25"/>
        <v>4000</v>
      </c>
    </row>
    <row r="155" spans="1:8" x14ac:dyDescent="0.2">
      <c r="A155">
        <f t="shared" si="19"/>
        <v>1154</v>
      </c>
      <c r="B155" s="1">
        <f t="shared" ca="1" si="18"/>
        <v>45722</v>
      </c>
      <c r="C155" t="str">
        <f t="shared" ca="1" si="20"/>
        <v>West</v>
      </c>
      <c r="D155" t="str">
        <f t="shared" ca="1" si="21"/>
        <v>Rahul</v>
      </c>
      <c r="E155" t="str">
        <f t="shared" ca="1" si="22"/>
        <v>Laptop</v>
      </c>
      <c r="F155">
        <f t="shared" ca="1" si="23"/>
        <v>7</v>
      </c>
      <c r="G155">
        <f t="shared" ca="1" si="24"/>
        <v>1500</v>
      </c>
      <c r="H155">
        <f t="shared" ca="1" si="25"/>
        <v>10500</v>
      </c>
    </row>
    <row r="156" spans="1:8" x14ac:dyDescent="0.2">
      <c r="A156">
        <f t="shared" si="19"/>
        <v>1155</v>
      </c>
      <c r="B156" s="1">
        <f t="shared" ca="1" si="18"/>
        <v>45689</v>
      </c>
      <c r="C156" t="str">
        <f t="shared" ca="1" si="20"/>
        <v>North</v>
      </c>
      <c r="D156" t="str">
        <f t="shared" ca="1" si="21"/>
        <v>Kiran</v>
      </c>
      <c r="E156" t="str">
        <f t="shared" ca="1" si="22"/>
        <v>Monitor</v>
      </c>
      <c r="F156">
        <f t="shared" ca="1" si="23"/>
        <v>4</v>
      </c>
      <c r="G156">
        <f t="shared" ca="1" si="24"/>
        <v>50000</v>
      </c>
      <c r="H156">
        <f t="shared" ca="1" si="25"/>
        <v>200000</v>
      </c>
    </row>
    <row r="157" spans="1:8" x14ac:dyDescent="0.2">
      <c r="A157">
        <f t="shared" si="19"/>
        <v>1156</v>
      </c>
      <c r="B157" s="1">
        <f t="shared" ca="1" si="18"/>
        <v>45682</v>
      </c>
      <c r="C157" t="str">
        <f t="shared" ca="1" si="20"/>
        <v>West</v>
      </c>
      <c r="D157" t="str">
        <f t="shared" ca="1" si="21"/>
        <v>Meena</v>
      </c>
      <c r="E157" t="str">
        <f t="shared" ca="1" si="22"/>
        <v>Mouse</v>
      </c>
      <c r="F157">
        <f t="shared" ca="1" si="23"/>
        <v>6</v>
      </c>
      <c r="G157">
        <f t="shared" ca="1" si="24"/>
        <v>8000</v>
      </c>
      <c r="H157">
        <f t="shared" ca="1" si="25"/>
        <v>48000</v>
      </c>
    </row>
    <row r="158" spans="1:8" x14ac:dyDescent="0.2">
      <c r="A158">
        <f t="shared" si="19"/>
        <v>1157</v>
      </c>
      <c r="B158" s="1">
        <f t="shared" ca="1" si="18"/>
        <v>45658</v>
      </c>
      <c r="C158" t="str">
        <f t="shared" ca="1" si="20"/>
        <v>South</v>
      </c>
      <c r="D158" t="str">
        <f t="shared" ca="1" si="21"/>
        <v>Arun</v>
      </c>
      <c r="E158" t="str">
        <f t="shared" ca="1" si="22"/>
        <v>Monitor</v>
      </c>
      <c r="F158">
        <f t="shared" ca="1" si="23"/>
        <v>7</v>
      </c>
      <c r="G158">
        <f t="shared" ca="1" si="24"/>
        <v>1500</v>
      </c>
      <c r="H158">
        <f t="shared" ca="1" si="25"/>
        <v>10500</v>
      </c>
    </row>
    <row r="159" spans="1:8" x14ac:dyDescent="0.2">
      <c r="A159">
        <f t="shared" si="19"/>
        <v>1158</v>
      </c>
      <c r="B159" s="1">
        <f t="shared" ca="1" si="18"/>
        <v>45742</v>
      </c>
      <c r="C159" t="str">
        <f t="shared" ca="1" si="20"/>
        <v>East</v>
      </c>
      <c r="D159" t="str">
        <f t="shared" ca="1" si="21"/>
        <v>Priya</v>
      </c>
      <c r="E159" t="str">
        <f t="shared" ca="1" si="22"/>
        <v>Laptop</v>
      </c>
      <c r="F159">
        <f t="shared" ca="1" si="23"/>
        <v>1</v>
      </c>
      <c r="G159">
        <f t="shared" ca="1" si="24"/>
        <v>8000</v>
      </c>
      <c r="H159">
        <f t="shared" ca="1" si="25"/>
        <v>8000</v>
      </c>
    </row>
    <row r="160" spans="1:8" x14ac:dyDescent="0.2">
      <c r="A160">
        <f t="shared" si="19"/>
        <v>1159</v>
      </c>
      <c r="B160" s="1">
        <f t="shared" ca="1" si="18"/>
        <v>45733</v>
      </c>
      <c r="C160" t="str">
        <f t="shared" ca="1" si="20"/>
        <v>East</v>
      </c>
      <c r="D160" t="str">
        <f t="shared" ca="1" si="21"/>
        <v>Priya</v>
      </c>
      <c r="E160" t="str">
        <f t="shared" ca="1" si="22"/>
        <v>Laptop</v>
      </c>
      <c r="F160">
        <f t="shared" ca="1" si="23"/>
        <v>10</v>
      </c>
      <c r="G160">
        <f t="shared" ca="1" si="24"/>
        <v>1500</v>
      </c>
      <c r="H160">
        <f t="shared" ca="1" si="25"/>
        <v>15000</v>
      </c>
    </row>
    <row r="161" spans="1:8" x14ac:dyDescent="0.2">
      <c r="A161">
        <f t="shared" si="19"/>
        <v>1160</v>
      </c>
      <c r="B161" s="1">
        <f t="shared" ca="1" si="18"/>
        <v>45735</v>
      </c>
      <c r="C161" t="str">
        <f t="shared" ca="1" si="20"/>
        <v>South</v>
      </c>
      <c r="D161" t="str">
        <f t="shared" ca="1" si="21"/>
        <v>Rahul</v>
      </c>
      <c r="E161" t="str">
        <f t="shared" ca="1" si="22"/>
        <v>Printer</v>
      </c>
      <c r="F161">
        <f t="shared" ca="1" si="23"/>
        <v>6</v>
      </c>
      <c r="G161">
        <f t="shared" ca="1" si="24"/>
        <v>1500</v>
      </c>
      <c r="H161">
        <f t="shared" ca="1" si="25"/>
        <v>9000</v>
      </c>
    </row>
    <row r="162" spans="1:8" x14ac:dyDescent="0.2">
      <c r="A162">
        <f t="shared" si="19"/>
        <v>1161</v>
      </c>
      <c r="B162" s="1">
        <f t="shared" ref="B162:B193" ca="1" si="26">DATE(2025,RANDBETWEEN(1,3),RANDBETWEEN(1,28))</f>
        <v>45680</v>
      </c>
      <c r="C162" t="str">
        <f t="shared" ca="1" si="20"/>
        <v>South</v>
      </c>
      <c r="D162" t="str">
        <f t="shared" ca="1" si="21"/>
        <v>Arun</v>
      </c>
      <c r="E162" t="str">
        <f t="shared" ca="1" si="22"/>
        <v>Keyboard</v>
      </c>
      <c r="F162">
        <f t="shared" ca="1" si="23"/>
        <v>10</v>
      </c>
      <c r="G162">
        <f t="shared" ca="1" si="24"/>
        <v>1500</v>
      </c>
      <c r="H162">
        <f t="shared" ca="1" si="25"/>
        <v>15000</v>
      </c>
    </row>
    <row r="163" spans="1:8" x14ac:dyDescent="0.2">
      <c r="A163">
        <f t="shared" si="19"/>
        <v>1162</v>
      </c>
      <c r="B163" s="1">
        <f t="shared" ca="1" si="26"/>
        <v>45708</v>
      </c>
      <c r="C163" t="str">
        <f t="shared" ca="1" si="20"/>
        <v>South</v>
      </c>
      <c r="D163" t="str">
        <f t="shared" ca="1" si="21"/>
        <v>Arun</v>
      </c>
      <c r="E163" t="str">
        <f t="shared" ca="1" si="22"/>
        <v>Keyboard</v>
      </c>
      <c r="F163">
        <f t="shared" ca="1" si="23"/>
        <v>9</v>
      </c>
      <c r="G163">
        <f t="shared" ca="1" si="24"/>
        <v>500</v>
      </c>
      <c r="H163">
        <f t="shared" ca="1" si="25"/>
        <v>4500</v>
      </c>
    </row>
    <row r="164" spans="1:8" x14ac:dyDescent="0.2">
      <c r="A164">
        <f t="shared" si="19"/>
        <v>1163</v>
      </c>
      <c r="B164" s="1">
        <f t="shared" ca="1" si="26"/>
        <v>45733</v>
      </c>
      <c r="C164" t="str">
        <f t="shared" ca="1" si="20"/>
        <v>North</v>
      </c>
      <c r="D164" t="str">
        <f t="shared" ca="1" si="21"/>
        <v>Rahul</v>
      </c>
      <c r="E164" t="str">
        <f t="shared" ca="1" si="22"/>
        <v>Mouse</v>
      </c>
      <c r="F164">
        <f t="shared" ca="1" si="23"/>
        <v>2</v>
      </c>
      <c r="G164">
        <f t="shared" ca="1" si="24"/>
        <v>50000</v>
      </c>
      <c r="H164">
        <f t="shared" ca="1" si="25"/>
        <v>100000</v>
      </c>
    </row>
    <row r="165" spans="1:8" x14ac:dyDescent="0.2">
      <c r="A165">
        <f t="shared" si="19"/>
        <v>1164</v>
      </c>
      <c r="B165" s="1">
        <f t="shared" ca="1" si="26"/>
        <v>45690</v>
      </c>
      <c r="C165" t="str">
        <f t="shared" ca="1" si="20"/>
        <v>West</v>
      </c>
      <c r="D165" t="str">
        <f t="shared" ca="1" si="21"/>
        <v>Priya</v>
      </c>
      <c r="E165" t="str">
        <f t="shared" ca="1" si="22"/>
        <v>Mouse</v>
      </c>
      <c r="F165">
        <f t="shared" ca="1" si="23"/>
        <v>10</v>
      </c>
      <c r="G165">
        <f t="shared" ca="1" si="24"/>
        <v>1500</v>
      </c>
      <c r="H165">
        <f t="shared" ca="1" si="25"/>
        <v>15000</v>
      </c>
    </row>
    <row r="166" spans="1:8" x14ac:dyDescent="0.2">
      <c r="A166">
        <f t="shared" si="19"/>
        <v>1165</v>
      </c>
      <c r="B166" s="1">
        <f t="shared" ca="1" si="26"/>
        <v>45727</v>
      </c>
      <c r="C166" t="str">
        <f t="shared" ca="1" si="20"/>
        <v>West</v>
      </c>
      <c r="D166" t="str">
        <f t="shared" ca="1" si="21"/>
        <v>Kiran</v>
      </c>
      <c r="E166" t="str">
        <f t="shared" ca="1" si="22"/>
        <v>Printer</v>
      </c>
      <c r="F166">
        <f t="shared" ca="1" si="23"/>
        <v>7</v>
      </c>
      <c r="G166">
        <f t="shared" ca="1" si="24"/>
        <v>500</v>
      </c>
      <c r="H166">
        <f t="shared" ca="1" si="25"/>
        <v>3500</v>
      </c>
    </row>
    <row r="167" spans="1:8" x14ac:dyDescent="0.2">
      <c r="A167">
        <f t="shared" si="19"/>
        <v>1166</v>
      </c>
      <c r="B167" s="1">
        <f t="shared" ca="1" si="26"/>
        <v>45693</v>
      </c>
      <c r="C167" t="str">
        <f t="shared" ca="1" si="20"/>
        <v>North</v>
      </c>
      <c r="D167" t="str">
        <f t="shared" ca="1" si="21"/>
        <v>Priya</v>
      </c>
      <c r="E167" t="str">
        <f t="shared" ca="1" si="22"/>
        <v>Laptop</v>
      </c>
      <c r="F167">
        <f t="shared" ca="1" si="23"/>
        <v>1</v>
      </c>
      <c r="G167">
        <f t="shared" ca="1" si="24"/>
        <v>8000</v>
      </c>
      <c r="H167">
        <f t="shared" ca="1" si="25"/>
        <v>8000</v>
      </c>
    </row>
    <row r="168" spans="1:8" x14ac:dyDescent="0.2">
      <c r="A168">
        <f t="shared" si="19"/>
        <v>1167</v>
      </c>
      <c r="B168" s="1">
        <f t="shared" ca="1" si="26"/>
        <v>45734</v>
      </c>
      <c r="C168" t="str">
        <f t="shared" ca="1" si="20"/>
        <v>East</v>
      </c>
      <c r="D168" t="str">
        <f t="shared" ca="1" si="21"/>
        <v>Meena</v>
      </c>
      <c r="E168" t="str">
        <f t="shared" ca="1" si="22"/>
        <v>Laptop</v>
      </c>
      <c r="F168">
        <f t="shared" ca="1" si="23"/>
        <v>4</v>
      </c>
      <c r="G168">
        <f t="shared" ca="1" si="24"/>
        <v>50000</v>
      </c>
      <c r="H168">
        <f t="shared" ca="1" si="25"/>
        <v>200000</v>
      </c>
    </row>
    <row r="169" spans="1:8" x14ac:dyDescent="0.2">
      <c r="A169">
        <f t="shared" si="19"/>
        <v>1168</v>
      </c>
      <c r="B169" s="1">
        <f t="shared" ca="1" si="26"/>
        <v>45659</v>
      </c>
      <c r="C169" t="str">
        <f t="shared" ca="1" si="20"/>
        <v>West</v>
      </c>
      <c r="D169" t="str">
        <f t="shared" ca="1" si="21"/>
        <v>Rahul</v>
      </c>
      <c r="E169" t="str">
        <f t="shared" ca="1" si="22"/>
        <v>Keyboard</v>
      </c>
      <c r="F169">
        <f t="shared" ca="1" si="23"/>
        <v>4</v>
      </c>
      <c r="G169">
        <f t="shared" ca="1" si="24"/>
        <v>1500</v>
      </c>
      <c r="H169">
        <f t="shared" ca="1" si="25"/>
        <v>6000</v>
      </c>
    </row>
    <row r="170" spans="1:8" x14ac:dyDescent="0.2">
      <c r="A170">
        <f t="shared" si="19"/>
        <v>1169</v>
      </c>
      <c r="B170" s="1">
        <f t="shared" ca="1" si="26"/>
        <v>45683</v>
      </c>
      <c r="C170" t="str">
        <f t="shared" ca="1" si="20"/>
        <v>South</v>
      </c>
      <c r="D170" t="str">
        <f t="shared" ca="1" si="21"/>
        <v>Priya</v>
      </c>
      <c r="E170" t="str">
        <f t="shared" ca="1" si="22"/>
        <v>Monitor</v>
      </c>
      <c r="F170">
        <f t="shared" ca="1" si="23"/>
        <v>7</v>
      </c>
      <c r="G170">
        <f t="shared" ca="1" si="24"/>
        <v>12000</v>
      </c>
      <c r="H170">
        <f t="shared" ca="1" si="25"/>
        <v>84000</v>
      </c>
    </row>
    <row r="171" spans="1:8" x14ac:dyDescent="0.2">
      <c r="A171">
        <f t="shared" si="19"/>
        <v>1170</v>
      </c>
      <c r="B171" s="1">
        <f t="shared" ca="1" si="26"/>
        <v>45680</v>
      </c>
      <c r="C171" t="str">
        <f t="shared" ca="1" si="20"/>
        <v>North</v>
      </c>
      <c r="D171" t="str">
        <f t="shared" ca="1" si="21"/>
        <v>Rahul</v>
      </c>
      <c r="E171" t="str">
        <f t="shared" ca="1" si="22"/>
        <v>Printer</v>
      </c>
      <c r="F171">
        <f t="shared" ca="1" si="23"/>
        <v>2</v>
      </c>
      <c r="G171">
        <f t="shared" ca="1" si="24"/>
        <v>8000</v>
      </c>
      <c r="H171">
        <f t="shared" ca="1" si="25"/>
        <v>16000</v>
      </c>
    </row>
    <row r="172" spans="1:8" x14ac:dyDescent="0.2">
      <c r="A172">
        <f t="shared" si="19"/>
        <v>1171</v>
      </c>
      <c r="B172" s="1">
        <f t="shared" ca="1" si="26"/>
        <v>45669</v>
      </c>
      <c r="C172" t="str">
        <f t="shared" ca="1" si="20"/>
        <v>North</v>
      </c>
      <c r="D172" t="str">
        <f t="shared" ca="1" si="21"/>
        <v>Priya</v>
      </c>
      <c r="E172" t="str">
        <f t="shared" ca="1" si="22"/>
        <v>Laptop</v>
      </c>
      <c r="F172">
        <f t="shared" ca="1" si="23"/>
        <v>9</v>
      </c>
      <c r="G172">
        <f t="shared" ca="1" si="24"/>
        <v>500</v>
      </c>
      <c r="H172">
        <f t="shared" ca="1" si="25"/>
        <v>4500</v>
      </c>
    </row>
    <row r="173" spans="1:8" x14ac:dyDescent="0.2">
      <c r="A173">
        <f t="shared" si="19"/>
        <v>1172</v>
      </c>
      <c r="B173" s="1">
        <f t="shared" ca="1" si="26"/>
        <v>45733</v>
      </c>
      <c r="C173" t="str">
        <f t="shared" ca="1" si="20"/>
        <v>West</v>
      </c>
      <c r="D173" t="str">
        <f t="shared" ca="1" si="21"/>
        <v>Kiran</v>
      </c>
      <c r="E173" t="str">
        <f t="shared" ca="1" si="22"/>
        <v>Printer</v>
      </c>
      <c r="F173">
        <f t="shared" ca="1" si="23"/>
        <v>4</v>
      </c>
      <c r="G173">
        <f t="shared" ca="1" si="24"/>
        <v>8000</v>
      </c>
      <c r="H173">
        <f t="shared" ca="1" si="25"/>
        <v>32000</v>
      </c>
    </row>
    <row r="174" spans="1:8" x14ac:dyDescent="0.2">
      <c r="A174">
        <f t="shared" si="19"/>
        <v>1173</v>
      </c>
      <c r="B174" s="1">
        <f t="shared" ca="1" si="26"/>
        <v>45735</v>
      </c>
      <c r="C174" t="str">
        <f t="shared" ca="1" si="20"/>
        <v>West</v>
      </c>
      <c r="D174" t="str">
        <f t="shared" ca="1" si="21"/>
        <v>Rahul</v>
      </c>
      <c r="E174" t="str">
        <f t="shared" ca="1" si="22"/>
        <v>Laptop</v>
      </c>
      <c r="F174">
        <f t="shared" ca="1" si="23"/>
        <v>7</v>
      </c>
      <c r="G174">
        <f t="shared" ca="1" si="24"/>
        <v>50000</v>
      </c>
      <c r="H174">
        <f t="shared" ca="1" si="25"/>
        <v>350000</v>
      </c>
    </row>
    <row r="175" spans="1:8" x14ac:dyDescent="0.2">
      <c r="A175">
        <f t="shared" si="19"/>
        <v>1174</v>
      </c>
      <c r="B175" s="1">
        <f t="shared" ca="1" si="26"/>
        <v>45680</v>
      </c>
      <c r="C175" t="str">
        <f t="shared" ca="1" si="20"/>
        <v>North</v>
      </c>
      <c r="D175" t="str">
        <f t="shared" ca="1" si="21"/>
        <v>Kiran</v>
      </c>
      <c r="E175" t="str">
        <f t="shared" ca="1" si="22"/>
        <v>Printer</v>
      </c>
      <c r="F175">
        <f t="shared" ca="1" si="23"/>
        <v>6</v>
      </c>
      <c r="G175">
        <f t="shared" ca="1" si="24"/>
        <v>12000</v>
      </c>
      <c r="H175">
        <f t="shared" ca="1" si="25"/>
        <v>72000</v>
      </c>
    </row>
    <row r="176" spans="1:8" x14ac:dyDescent="0.2">
      <c r="A176">
        <f t="shared" si="19"/>
        <v>1175</v>
      </c>
      <c r="B176" s="1">
        <f t="shared" ca="1" si="26"/>
        <v>45730</v>
      </c>
      <c r="C176" t="str">
        <f t="shared" ca="1" si="20"/>
        <v>South</v>
      </c>
      <c r="D176" t="str">
        <f t="shared" ca="1" si="21"/>
        <v>Rahul</v>
      </c>
      <c r="E176" t="str">
        <f t="shared" ca="1" si="22"/>
        <v>Monitor</v>
      </c>
      <c r="F176">
        <f t="shared" ca="1" si="23"/>
        <v>8</v>
      </c>
      <c r="G176">
        <f t="shared" ca="1" si="24"/>
        <v>500</v>
      </c>
      <c r="H176">
        <f t="shared" ca="1" si="25"/>
        <v>4000</v>
      </c>
    </row>
    <row r="177" spans="1:8" x14ac:dyDescent="0.2">
      <c r="A177">
        <f t="shared" si="19"/>
        <v>1176</v>
      </c>
      <c r="B177" s="1">
        <f t="shared" ca="1" si="26"/>
        <v>45732</v>
      </c>
      <c r="C177" t="str">
        <f t="shared" ca="1" si="20"/>
        <v>West</v>
      </c>
      <c r="D177" t="str">
        <f t="shared" ca="1" si="21"/>
        <v>Kiran</v>
      </c>
      <c r="E177" t="str">
        <f t="shared" ca="1" si="22"/>
        <v>Laptop</v>
      </c>
      <c r="F177">
        <f t="shared" ca="1" si="23"/>
        <v>10</v>
      </c>
      <c r="G177">
        <f t="shared" ca="1" si="24"/>
        <v>12000</v>
      </c>
      <c r="H177">
        <f t="shared" ca="1" si="25"/>
        <v>120000</v>
      </c>
    </row>
    <row r="178" spans="1:8" x14ac:dyDescent="0.2">
      <c r="A178">
        <f t="shared" si="19"/>
        <v>1177</v>
      </c>
      <c r="B178" s="1">
        <f t="shared" ca="1" si="26"/>
        <v>45690</v>
      </c>
      <c r="C178" t="str">
        <f t="shared" ca="1" si="20"/>
        <v>East</v>
      </c>
      <c r="D178" t="str">
        <f t="shared" ca="1" si="21"/>
        <v>Rahul</v>
      </c>
      <c r="E178" t="str">
        <f t="shared" ca="1" si="22"/>
        <v>Mouse</v>
      </c>
      <c r="F178">
        <f t="shared" ca="1" si="23"/>
        <v>4</v>
      </c>
      <c r="G178">
        <f t="shared" ca="1" si="24"/>
        <v>50000</v>
      </c>
      <c r="H178">
        <f t="shared" ca="1" si="25"/>
        <v>200000</v>
      </c>
    </row>
    <row r="179" spans="1:8" x14ac:dyDescent="0.2">
      <c r="A179">
        <f t="shared" si="19"/>
        <v>1178</v>
      </c>
      <c r="B179" s="1">
        <f t="shared" ca="1" si="26"/>
        <v>45707</v>
      </c>
      <c r="C179" t="str">
        <f t="shared" ca="1" si="20"/>
        <v>North</v>
      </c>
      <c r="D179" t="str">
        <f t="shared" ca="1" si="21"/>
        <v>Meena</v>
      </c>
      <c r="E179" t="str">
        <f t="shared" ca="1" si="22"/>
        <v>Monitor</v>
      </c>
      <c r="F179">
        <f t="shared" ca="1" si="23"/>
        <v>10</v>
      </c>
      <c r="G179">
        <f t="shared" ca="1" si="24"/>
        <v>500</v>
      </c>
      <c r="H179">
        <f t="shared" ca="1" si="25"/>
        <v>5000</v>
      </c>
    </row>
    <row r="180" spans="1:8" x14ac:dyDescent="0.2">
      <c r="A180">
        <f t="shared" si="19"/>
        <v>1179</v>
      </c>
      <c r="B180" s="1">
        <f t="shared" ca="1" si="26"/>
        <v>45702</v>
      </c>
      <c r="C180" t="str">
        <f t="shared" ca="1" si="20"/>
        <v>North</v>
      </c>
      <c r="D180" t="str">
        <f t="shared" ca="1" si="21"/>
        <v>Kiran</v>
      </c>
      <c r="E180" t="str">
        <f t="shared" ca="1" si="22"/>
        <v>Laptop</v>
      </c>
      <c r="F180">
        <f t="shared" ca="1" si="23"/>
        <v>8</v>
      </c>
      <c r="G180">
        <f t="shared" ca="1" si="24"/>
        <v>8000</v>
      </c>
      <c r="H180">
        <f t="shared" ca="1" si="25"/>
        <v>64000</v>
      </c>
    </row>
    <row r="181" spans="1:8" x14ac:dyDescent="0.2">
      <c r="A181">
        <f t="shared" si="19"/>
        <v>1180</v>
      </c>
      <c r="B181" s="1">
        <f t="shared" ca="1" si="26"/>
        <v>45708</v>
      </c>
      <c r="C181" t="str">
        <f t="shared" ca="1" si="20"/>
        <v>South</v>
      </c>
      <c r="D181" t="str">
        <f t="shared" ca="1" si="21"/>
        <v>Kiran</v>
      </c>
      <c r="E181" t="str">
        <f t="shared" ca="1" si="22"/>
        <v>Mouse</v>
      </c>
      <c r="F181">
        <f t="shared" ca="1" si="23"/>
        <v>4</v>
      </c>
      <c r="G181">
        <f t="shared" ca="1" si="24"/>
        <v>500</v>
      </c>
      <c r="H181">
        <f t="shared" ca="1" si="25"/>
        <v>2000</v>
      </c>
    </row>
    <row r="182" spans="1:8" x14ac:dyDescent="0.2">
      <c r="A182">
        <f t="shared" si="19"/>
        <v>1181</v>
      </c>
      <c r="B182" s="1">
        <f t="shared" ca="1" si="26"/>
        <v>45696</v>
      </c>
      <c r="C182" t="str">
        <f t="shared" ca="1" si="20"/>
        <v>South</v>
      </c>
      <c r="D182" t="str">
        <f t="shared" ca="1" si="21"/>
        <v>Priya</v>
      </c>
      <c r="E182" t="str">
        <f t="shared" ca="1" si="22"/>
        <v>Monitor</v>
      </c>
      <c r="F182">
        <f t="shared" ca="1" si="23"/>
        <v>8</v>
      </c>
      <c r="G182">
        <f t="shared" ca="1" si="24"/>
        <v>500</v>
      </c>
      <c r="H182">
        <f t="shared" ca="1" si="25"/>
        <v>4000</v>
      </c>
    </row>
    <row r="183" spans="1:8" x14ac:dyDescent="0.2">
      <c r="A183">
        <f t="shared" si="19"/>
        <v>1182</v>
      </c>
      <c r="B183" s="1">
        <f t="shared" ca="1" si="26"/>
        <v>45721</v>
      </c>
      <c r="C183" t="str">
        <f t="shared" ca="1" si="20"/>
        <v>West</v>
      </c>
      <c r="D183" t="str">
        <f t="shared" ca="1" si="21"/>
        <v>Priya</v>
      </c>
      <c r="E183" t="str">
        <f t="shared" ca="1" si="22"/>
        <v>Mouse</v>
      </c>
      <c r="F183">
        <f t="shared" ca="1" si="23"/>
        <v>10</v>
      </c>
      <c r="G183">
        <f t="shared" ca="1" si="24"/>
        <v>500</v>
      </c>
      <c r="H183">
        <f t="shared" ca="1" si="25"/>
        <v>5000</v>
      </c>
    </row>
    <row r="184" spans="1:8" x14ac:dyDescent="0.2">
      <c r="A184">
        <f t="shared" si="19"/>
        <v>1183</v>
      </c>
      <c r="B184" s="1">
        <f t="shared" ca="1" si="26"/>
        <v>45677</v>
      </c>
      <c r="C184" t="str">
        <f t="shared" ca="1" si="20"/>
        <v>East</v>
      </c>
      <c r="D184" t="str">
        <f t="shared" ca="1" si="21"/>
        <v>Priya</v>
      </c>
      <c r="E184" t="str">
        <f t="shared" ca="1" si="22"/>
        <v>Keyboard</v>
      </c>
      <c r="F184">
        <f t="shared" ca="1" si="23"/>
        <v>10</v>
      </c>
      <c r="G184">
        <f t="shared" ca="1" si="24"/>
        <v>1500</v>
      </c>
      <c r="H184">
        <f t="shared" ca="1" si="25"/>
        <v>15000</v>
      </c>
    </row>
    <row r="185" spans="1:8" x14ac:dyDescent="0.2">
      <c r="A185">
        <f t="shared" si="19"/>
        <v>1184</v>
      </c>
      <c r="B185" s="1">
        <f t="shared" ca="1" si="26"/>
        <v>45702</v>
      </c>
      <c r="C185" t="str">
        <f t="shared" ca="1" si="20"/>
        <v>South</v>
      </c>
      <c r="D185" t="str">
        <f t="shared" ca="1" si="21"/>
        <v>Priya</v>
      </c>
      <c r="E185" t="str">
        <f t="shared" ca="1" si="22"/>
        <v>Mouse</v>
      </c>
      <c r="F185">
        <f t="shared" ca="1" si="23"/>
        <v>8</v>
      </c>
      <c r="G185">
        <f t="shared" ca="1" si="24"/>
        <v>8000</v>
      </c>
      <c r="H185">
        <f t="shared" ca="1" si="25"/>
        <v>64000</v>
      </c>
    </row>
    <row r="186" spans="1:8" x14ac:dyDescent="0.2">
      <c r="A186">
        <f t="shared" si="19"/>
        <v>1185</v>
      </c>
      <c r="B186" s="1">
        <f t="shared" ca="1" si="26"/>
        <v>45699</v>
      </c>
      <c r="C186" t="str">
        <f t="shared" ca="1" si="20"/>
        <v>North</v>
      </c>
      <c r="D186" t="str">
        <f t="shared" ca="1" si="21"/>
        <v>Kiran</v>
      </c>
      <c r="E186" t="str">
        <f t="shared" ca="1" si="22"/>
        <v>Keyboard</v>
      </c>
      <c r="F186">
        <f t="shared" ca="1" si="23"/>
        <v>9</v>
      </c>
      <c r="G186">
        <f t="shared" ca="1" si="24"/>
        <v>12000</v>
      </c>
      <c r="H186">
        <f t="shared" ca="1" si="25"/>
        <v>108000</v>
      </c>
    </row>
    <row r="187" spans="1:8" x14ac:dyDescent="0.2">
      <c r="A187">
        <f t="shared" si="19"/>
        <v>1186</v>
      </c>
      <c r="B187" s="1">
        <f t="shared" ca="1" si="26"/>
        <v>45714</v>
      </c>
      <c r="C187" t="str">
        <f t="shared" ca="1" si="20"/>
        <v>North</v>
      </c>
      <c r="D187" t="str">
        <f t="shared" ca="1" si="21"/>
        <v>Kiran</v>
      </c>
      <c r="E187" t="str">
        <f t="shared" ca="1" si="22"/>
        <v>Keyboard</v>
      </c>
      <c r="F187">
        <f t="shared" ca="1" si="23"/>
        <v>5</v>
      </c>
      <c r="G187">
        <f t="shared" ca="1" si="24"/>
        <v>1500</v>
      </c>
      <c r="H187">
        <f t="shared" ca="1" si="25"/>
        <v>7500</v>
      </c>
    </row>
    <row r="188" spans="1:8" x14ac:dyDescent="0.2">
      <c r="A188">
        <f t="shared" si="19"/>
        <v>1187</v>
      </c>
      <c r="B188" s="1">
        <f t="shared" ca="1" si="26"/>
        <v>45672</v>
      </c>
      <c r="C188" t="str">
        <f t="shared" ca="1" si="20"/>
        <v>West</v>
      </c>
      <c r="D188" t="str">
        <f t="shared" ca="1" si="21"/>
        <v>Rahul</v>
      </c>
      <c r="E188" t="str">
        <f t="shared" ca="1" si="22"/>
        <v>Keyboard</v>
      </c>
      <c r="F188">
        <f t="shared" ca="1" si="23"/>
        <v>10</v>
      </c>
      <c r="G188">
        <f t="shared" ca="1" si="24"/>
        <v>1500</v>
      </c>
      <c r="H188">
        <f t="shared" ca="1" si="25"/>
        <v>15000</v>
      </c>
    </row>
    <row r="189" spans="1:8" x14ac:dyDescent="0.2">
      <c r="A189">
        <f t="shared" si="19"/>
        <v>1188</v>
      </c>
      <c r="B189" s="1">
        <f t="shared" ca="1" si="26"/>
        <v>45682</v>
      </c>
      <c r="C189" t="str">
        <f t="shared" ca="1" si="20"/>
        <v>North</v>
      </c>
      <c r="D189" t="str">
        <f t="shared" ca="1" si="21"/>
        <v>Arun</v>
      </c>
      <c r="E189" t="str">
        <f t="shared" ca="1" si="22"/>
        <v>Laptop</v>
      </c>
      <c r="F189">
        <f t="shared" ca="1" si="23"/>
        <v>3</v>
      </c>
      <c r="G189">
        <f t="shared" ca="1" si="24"/>
        <v>50000</v>
      </c>
      <c r="H189">
        <f t="shared" ca="1" si="25"/>
        <v>150000</v>
      </c>
    </row>
    <row r="190" spans="1:8" x14ac:dyDescent="0.2">
      <c r="A190">
        <f t="shared" si="19"/>
        <v>1189</v>
      </c>
      <c r="B190" s="1">
        <f t="shared" ca="1" si="26"/>
        <v>45741</v>
      </c>
      <c r="C190" t="str">
        <f t="shared" ca="1" si="20"/>
        <v>West</v>
      </c>
      <c r="D190" t="str">
        <f t="shared" ca="1" si="21"/>
        <v>Kiran</v>
      </c>
      <c r="E190" t="str">
        <f t="shared" ca="1" si="22"/>
        <v>Laptop</v>
      </c>
      <c r="F190">
        <f t="shared" ca="1" si="23"/>
        <v>2</v>
      </c>
      <c r="G190">
        <f t="shared" ca="1" si="24"/>
        <v>8000</v>
      </c>
      <c r="H190">
        <f t="shared" ca="1" si="25"/>
        <v>16000</v>
      </c>
    </row>
    <row r="191" spans="1:8" x14ac:dyDescent="0.2">
      <c r="A191">
        <f t="shared" si="19"/>
        <v>1190</v>
      </c>
      <c r="B191" s="1">
        <f t="shared" ca="1" si="26"/>
        <v>45705</v>
      </c>
      <c r="C191" t="str">
        <f t="shared" ca="1" si="20"/>
        <v>North</v>
      </c>
      <c r="D191" t="str">
        <f t="shared" ca="1" si="21"/>
        <v>Kiran</v>
      </c>
      <c r="E191" t="str">
        <f t="shared" ca="1" si="22"/>
        <v>Monitor</v>
      </c>
      <c r="F191">
        <f t="shared" ca="1" si="23"/>
        <v>10</v>
      </c>
      <c r="G191">
        <f t="shared" ca="1" si="24"/>
        <v>8000</v>
      </c>
      <c r="H191">
        <f t="shared" ca="1" si="25"/>
        <v>80000</v>
      </c>
    </row>
    <row r="192" spans="1:8" x14ac:dyDescent="0.2">
      <c r="A192">
        <f t="shared" si="19"/>
        <v>1191</v>
      </c>
      <c r="B192" s="1">
        <f t="shared" ca="1" si="26"/>
        <v>45695</v>
      </c>
      <c r="C192" t="str">
        <f t="shared" ca="1" si="20"/>
        <v>North</v>
      </c>
      <c r="D192" t="str">
        <f t="shared" ca="1" si="21"/>
        <v>Priya</v>
      </c>
      <c r="E192" t="str">
        <f t="shared" ca="1" si="22"/>
        <v>Keyboard</v>
      </c>
      <c r="F192">
        <f t="shared" ca="1" si="23"/>
        <v>4</v>
      </c>
      <c r="G192">
        <f t="shared" ca="1" si="24"/>
        <v>50000</v>
      </c>
      <c r="H192">
        <f t="shared" ca="1" si="25"/>
        <v>200000</v>
      </c>
    </row>
    <row r="193" spans="1:8" x14ac:dyDescent="0.2">
      <c r="A193">
        <f t="shared" si="19"/>
        <v>1192</v>
      </c>
      <c r="B193" s="1">
        <f t="shared" ca="1" si="26"/>
        <v>45701</v>
      </c>
      <c r="C193" t="str">
        <f t="shared" ca="1" si="20"/>
        <v>West</v>
      </c>
      <c r="D193" t="str">
        <f t="shared" ca="1" si="21"/>
        <v>Meena</v>
      </c>
      <c r="E193" t="str">
        <f t="shared" ca="1" si="22"/>
        <v>Laptop</v>
      </c>
      <c r="F193">
        <f t="shared" ca="1" si="23"/>
        <v>10</v>
      </c>
      <c r="G193">
        <f t="shared" ca="1" si="24"/>
        <v>1500</v>
      </c>
      <c r="H193">
        <f t="shared" ca="1" si="25"/>
        <v>15000</v>
      </c>
    </row>
    <row r="194" spans="1:8" x14ac:dyDescent="0.2">
      <c r="A194">
        <f t="shared" si="19"/>
        <v>1193</v>
      </c>
      <c r="B194" s="1">
        <f t="shared" ref="B194:B200" ca="1" si="27">DATE(2025,RANDBETWEEN(1,3),RANDBETWEEN(1,28))</f>
        <v>45718</v>
      </c>
      <c r="C194" t="str">
        <f t="shared" ca="1" si="20"/>
        <v>West</v>
      </c>
      <c r="D194" t="str">
        <f t="shared" ca="1" si="21"/>
        <v>Arun</v>
      </c>
      <c r="E194" t="str">
        <f t="shared" ca="1" si="22"/>
        <v>Monitor</v>
      </c>
      <c r="F194">
        <f t="shared" ca="1" si="23"/>
        <v>4</v>
      </c>
      <c r="G194">
        <f t="shared" ca="1" si="24"/>
        <v>8000</v>
      </c>
      <c r="H194">
        <f t="shared" ca="1" si="25"/>
        <v>32000</v>
      </c>
    </row>
    <row r="195" spans="1:8" x14ac:dyDescent="0.2">
      <c r="A195">
        <f t="shared" ref="A195:A200" si="28">1000+ROW()-1</f>
        <v>1194</v>
      </c>
      <c r="B195" s="1">
        <f t="shared" ca="1" si="27"/>
        <v>45720</v>
      </c>
      <c r="C195" t="str">
        <f t="shared" ref="C195:C200" ca="1" si="29">CHOOSE(RANDBETWEEN(1,4),"North","South","East","West")</f>
        <v>East</v>
      </c>
      <c r="D195" t="str">
        <f t="shared" ref="D195:D200" ca="1" si="30">CHOOSE(RANDBETWEEN(1,5),"Arun","Priya","Rahul","Meena","Kiran")</f>
        <v>Priya</v>
      </c>
      <c r="E195" t="str">
        <f t="shared" ref="E195:E200" ca="1" si="31">CHOOSE(RANDBETWEEN(1,5),"Laptop","Mouse","Keyboard","Monitor","Printer")</f>
        <v>Printer</v>
      </c>
      <c r="F195">
        <f t="shared" ref="F195:F200" ca="1" si="32">RANDBETWEEN(1,10)</f>
        <v>2</v>
      </c>
      <c r="G195">
        <f t="shared" ref="G195:G200" ca="1" si="33">CHOOSE(RANDBETWEEN(1,5),50000,500,1500,12000,8000)</f>
        <v>8000</v>
      </c>
      <c r="H195">
        <f t="shared" ref="H195:H200" ca="1" si="34">F195*G195</f>
        <v>16000</v>
      </c>
    </row>
    <row r="196" spans="1:8" x14ac:dyDescent="0.2">
      <c r="A196">
        <f t="shared" si="28"/>
        <v>1195</v>
      </c>
      <c r="B196" s="1">
        <f t="shared" ca="1" si="27"/>
        <v>45704</v>
      </c>
      <c r="C196" t="str">
        <f t="shared" ca="1" si="29"/>
        <v>North</v>
      </c>
      <c r="D196" t="str">
        <f t="shared" ca="1" si="30"/>
        <v>Meena</v>
      </c>
      <c r="E196" t="str">
        <f t="shared" ca="1" si="31"/>
        <v>Keyboard</v>
      </c>
      <c r="F196">
        <f t="shared" ca="1" si="32"/>
        <v>6</v>
      </c>
      <c r="G196">
        <f t="shared" ca="1" si="33"/>
        <v>12000</v>
      </c>
      <c r="H196">
        <f t="shared" ca="1" si="34"/>
        <v>72000</v>
      </c>
    </row>
    <row r="197" spans="1:8" x14ac:dyDescent="0.2">
      <c r="A197">
        <f t="shared" si="28"/>
        <v>1196</v>
      </c>
      <c r="B197" s="1">
        <f t="shared" ca="1" si="27"/>
        <v>45708</v>
      </c>
      <c r="C197" t="str">
        <f t="shared" ca="1" si="29"/>
        <v>West</v>
      </c>
      <c r="D197" t="str">
        <f t="shared" ca="1" si="30"/>
        <v>Priya</v>
      </c>
      <c r="E197" t="str">
        <f t="shared" ca="1" si="31"/>
        <v>Monitor</v>
      </c>
      <c r="F197">
        <f t="shared" ca="1" si="32"/>
        <v>4</v>
      </c>
      <c r="G197">
        <f t="shared" ca="1" si="33"/>
        <v>500</v>
      </c>
      <c r="H197">
        <f t="shared" ca="1" si="34"/>
        <v>2000</v>
      </c>
    </row>
    <row r="198" spans="1:8" x14ac:dyDescent="0.2">
      <c r="A198">
        <f t="shared" si="28"/>
        <v>1197</v>
      </c>
      <c r="B198" s="1">
        <f t="shared" ca="1" si="27"/>
        <v>45681</v>
      </c>
      <c r="C198" t="str">
        <f t="shared" ca="1" si="29"/>
        <v>North</v>
      </c>
      <c r="D198" t="str">
        <f t="shared" ca="1" si="30"/>
        <v>Meena</v>
      </c>
      <c r="E198" t="str">
        <f t="shared" ca="1" si="31"/>
        <v>Mouse</v>
      </c>
      <c r="F198">
        <f t="shared" ca="1" si="32"/>
        <v>6</v>
      </c>
      <c r="G198">
        <f t="shared" ca="1" si="33"/>
        <v>500</v>
      </c>
      <c r="H198">
        <f t="shared" ca="1" si="34"/>
        <v>3000</v>
      </c>
    </row>
    <row r="199" spans="1:8" x14ac:dyDescent="0.2">
      <c r="A199">
        <f t="shared" si="28"/>
        <v>1198</v>
      </c>
      <c r="B199" s="1">
        <f t="shared" ca="1" si="27"/>
        <v>45726</v>
      </c>
      <c r="C199" t="str">
        <f t="shared" ca="1" si="29"/>
        <v>East</v>
      </c>
      <c r="D199" t="str">
        <f t="shared" ca="1" si="30"/>
        <v>Kiran</v>
      </c>
      <c r="E199" t="str">
        <f t="shared" ca="1" si="31"/>
        <v>Laptop</v>
      </c>
      <c r="F199">
        <f t="shared" ca="1" si="32"/>
        <v>1</v>
      </c>
      <c r="G199">
        <f t="shared" ca="1" si="33"/>
        <v>12000</v>
      </c>
      <c r="H199">
        <f t="shared" ca="1" si="34"/>
        <v>12000</v>
      </c>
    </row>
    <row r="200" spans="1:8" x14ac:dyDescent="0.2">
      <c r="A200">
        <f t="shared" si="28"/>
        <v>1199</v>
      </c>
      <c r="B200" s="1">
        <f t="shared" ca="1" si="27"/>
        <v>45667</v>
      </c>
      <c r="C200" t="str">
        <f t="shared" ca="1" si="29"/>
        <v>South</v>
      </c>
      <c r="D200" t="str">
        <f t="shared" ca="1" si="30"/>
        <v>Rahul</v>
      </c>
      <c r="E200" t="str">
        <f t="shared" ca="1" si="31"/>
        <v>Printer</v>
      </c>
      <c r="F200">
        <f t="shared" ca="1" si="32"/>
        <v>3</v>
      </c>
      <c r="G200">
        <f t="shared" ca="1" si="33"/>
        <v>8000</v>
      </c>
      <c r="H200">
        <f t="shared" ca="1" si="34"/>
        <v>24000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50C831-E846-8F44-939A-828B02B03C2A}">
  <dimension ref="D1:O30"/>
  <sheetViews>
    <sheetView showGridLines="0" showRowColHeaders="0" zoomScaleNormal="100" workbookViewId="0">
      <selection activeCell="H5" sqref="H5"/>
    </sheetView>
  </sheetViews>
  <sheetFormatPr baseColWidth="10" defaultColWidth="0" defaultRowHeight="16" zeroHeight="1" x14ac:dyDescent="0.2"/>
  <cols>
    <col min="1" max="1" width="13" bestFit="1" customWidth="1"/>
    <col min="2" max="2" width="14.1640625" bestFit="1" customWidth="1"/>
    <col min="3" max="3" width="10.83203125" customWidth="1"/>
    <col min="4" max="4" width="26.1640625" customWidth="1"/>
    <col min="5" max="5" width="35.5" customWidth="1"/>
    <col min="6" max="6" width="31.1640625" customWidth="1"/>
    <col min="7" max="7" width="26.1640625" customWidth="1"/>
    <col min="8" max="8" width="35.5" customWidth="1"/>
    <col min="9" max="9" width="10.5" hidden="1"/>
    <col min="10" max="10" width="14.1640625" hidden="1"/>
    <col min="11" max="11" width="14.33203125" hidden="1"/>
    <col min="12" max="12" width="10.83203125" hidden="1"/>
    <col min="13" max="13" width="14.1640625" hidden="1"/>
    <col min="14" max="14" width="13" hidden="1"/>
    <col min="15" max="15" width="14.33203125" hidden="1"/>
    <col min="16" max="16384" width="10.83203125" hidden="1"/>
  </cols>
  <sheetData>
    <row r="1" spans="4:8" x14ac:dyDescent="0.2"/>
    <row r="2" spans="4:8" x14ac:dyDescent="0.2"/>
    <row r="3" spans="4:8" x14ac:dyDescent="0.2"/>
    <row r="4" spans="4:8" x14ac:dyDescent="0.2"/>
    <row r="5" spans="4:8" x14ac:dyDescent="0.2"/>
    <row r="6" spans="4:8" x14ac:dyDescent="0.2"/>
    <row r="7" spans="4:8" x14ac:dyDescent="0.2"/>
    <row r="8" spans="4:8" x14ac:dyDescent="0.2"/>
    <row r="9" spans="4:8" x14ac:dyDescent="0.2"/>
    <row r="10" spans="4:8" x14ac:dyDescent="0.2"/>
    <row r="11" spans="4:8" x14ac:dyDescent="0.2"/>
    <row r="12" spans="4:8" x14ac:dyDescent="0.2"/>
    <row r="13" spans="4:8" ht="39" x14ac:dyDescent="0.45">
      <c r="D13" s="15" t="s">
        <v>2</v>
      </c>
      <c r="E13" s="16" t="s">
        <v>23</v>
      </c>
      <c r="G13" s="15" t="s">
        <v>29</v>
      </c>
      <c r="H13" s="16" t="s">
        <v>23</v>
      </c>
    </row>
    <row r="14" spans="4:8" ht="39" x14ac:dyDescent="0.45">
      <c r="D14" s="17" t="s">
        <v>20</v>
      </c>
      <c r="E14" s="18">
        <v>3686500</v>
      </c>
      <c r="G14" s="17" t="s">
        <v>26</v>
      </c>
      <c r="H14" s="18">
        <v>5734000</v>
      </c>
    </row>
    <row r="15" spans="4:8" ht="39" x14ac:dyDescent="0.45">
      <c r="D15" s="17" t="s">
        <v>17</v>
      </c>
      <c r="E15" s="18">
        <v>6471000</v>
      </c>
      <c r="G15" s="17" t="s">
        <v>27</v>
      </c>
      <c r="H15" s="18">
        <v>4659000</v>
      </c>
    </row>
    <row r="16" spans="4:8" ht="39" x14ac:dyDescent="0.45">
      <c r="D16" s="17" t="s">
        <v>14</v>
      </c>
      <c r="E16" s="18">
        <v>2386500</v>
      </c>
      <c r="G16" s="17" t="s">
        <v>28</v>
      </c>
      <c r="H16" s="18">
        <v>6737500</v>
      </c>
    </row>
    <row r="17" spans="4:8" ht="39" x14ac:dyDescent="0.45">
      <c r="D17" s="17" t="s">
        <v>8</v>
      </c>
      <c r="E17" s="18">
        <v>4586500</v>
      </c>
      <c r="G17" s="17" t="s">
        <v>22</v>
      </c>
      <c r="H17" s="18">
        <v>17130500</v>
      </c>
    </row>
    <row r="18" spans="4:8" ht="39" x14ac:dyDescent="0.45">
      <c r="D18" s="17" t="s">
        <v>22</v>
      </c>
      <c r="E18" s="18">
        <v>17130500</v>
      </c>
    </row>
    <row r="19" spans="4:8" x14ac:dyDescent="0.2"/>
    <row r="20" spans="4:8" x14ac:dyDescent="0.2"/>
    <row r="21" spans="4:8" x14ac:dyDescent="0.2"/>
    <row r="22" spans="4:8" ht="39" x14ac:dyDescent="0.45">
      <c r="D22" s="15" t="s">
        <v>5</v>
      </c>
      <c r="E22" s="16" t="s">
        <v>23</v>
      </c>
      <c r="G22" s="15" t="s">
        <v>34</v>
      </c>
      <c r="H22" s="16" t="s">
        <v>23</v>
      </c>
    </row>
    <row r="23" spans="4:8" ht="39" x14ac:dyDescent="0.45">
      <c r="D23" s="17" t="s">
        <v>10</v>
      </c>
      <c r="E23" s="18">
        <v>2673500</v>
      </c>
      <c r="G23" s="17" t="s">
        <v>9</v>
      </c>
      <c r="H23" s="18">
        <v>3739000</v>
      </c>
    </row>
    <row r="24" spans="4:8" ht="39" x14ac:dyDescent="0.45">
      <c r="D24" s="17" t="s">
        <v>16</v>
      </c>
      <c r="E24" s="18">
        <v>3692500</v>
      </c>
      <c r="G24" s="17" t="s">
        <v>11</v>
      </c>
      <c r="H24" s="18">
        <v>2875500</v>
      </c>
    </row>
    <row r="25" spans="4:8" ht="39" x14ac:dyDescent="0.45">
      <c r="D25" s="17" t="s">
        <v>19</v>
      </c>
      <c r="E25" s="18">
        <v>3776500</v>
      </c>
      <c r="G25" s="17" t="s">
        <v>21</v>
      </c>
      <c r="H25" s="18">
        <v>4229000</v>
      </c>
    </row>
    <row r="26" spans="4:8" ht="39" x14ac:dyDescent="0.45">
      <c r="D26" s="17" t="s">
        <v>13</v>
      </c>
      <c r="E26" s="18">
        <v>3222000</v>
      </c>
      <c r="G26" s="17" t="s">
        <v>18</v>
      </c>
      <c r="H26" s="18">
        <v>3044000</v>
      </c>
    </row>
    <row r="27" spans="4:8" ht="39" x14ac:dyDescent="0.45">
      <c r="D27" s="17" t="s">
        <v>12</v>
      </c>
      <c r="E27" s="18">
        <v>3766000</v>
      </c>
      <c r="G27" s="17" t="s">
        <v>15</v>
      </c>
      <c r="H27" s="18">
        <v>3243000</v>
      </c>
    </row>
    <row r="28" spans="4:8" ht="39" x14ac:dyDescent="0.45">
      <c r="D28" s="17" t="s">
        <v>22</v>
      </c>
      <c r="E28" s="18">
        <v>17130500</v>
      </c>
      <c r="G28" s="17" t="s">
        <v>22</v>
      </c>
      <c r="H28" s="18">
        <v>17130500</v>
      </c>
    </row>
    <row r="29" spans="4:8" x14ac:dyDescent="0.2"/>
    <row r="30" spans="4:8" x14ac:dyDescent="0.2"/>
  </sheetData>
  <pageMargins left="0.7" right="0.7" top="0.75" bottom="0.75" header="0.3" footer="0.3"/>
  <extLst>
    <ext xmlns:x14="http://schemas.microsoft.com/office/spreadsheetml/2009/9/main" uri="{A8765BA9-456A-4dab-B4F3-ACF838C121DE}">
      <x14:slicerList>
        <x14:slicer r:id="rId5"/>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228486-5C89-0E45-94A8-245D6CEEF314}">
  <dimension ref="A1:W59"/>
  <sheetViews>
    <sheetView showGridLines="0" showRowColHeaders="0" tabSelected="1" topLeftCell="A2" zoomScale="82" zoomScaleNormal="64" workbookViewId="0">
      <selection activeCell="C13" sqref="C13"/>
    </sheetView>
  </sheetViews>
  <sheetFormatPr baseColWidth="10" defaultRowHeight="16" x14ac:dyDescent="0.2"/>
  <cols>
    <col min="9" max="9" width="26.5" customWidth="1"/>
    <col min="12" max="12" width="17" customWidth="1"/>
    <col min="14" max="14" width="15.33203125" customWidth="1"/>
    <col min="15" max="15" width="18.5" customWidth="1"/>
  </cols>
  <sheetData>
    <row r="1" spans="1:15" ht="24" x14ac:dyDescent="0.3">
      <c r="A1" s="5"/>
    </row>
    <row r="2" spans="1:15" ht="39" x14ac:dyDescent="0.45">
      <c r="I2" s="13"/>
      <c r="J2" s="13"/>
      <c r="K2" s="12" t="s">
        <v>30</v>
      </c>
      <c r="L2" s="14"/>
      <c r="M2" s="13"/>
      <c r="N2" s="13"/>
    </row>
    <row r="8" spans="1:15" ht="29" x14ac:dyDescent="0.35">
      <c r="I8" s="9" t="s">
        <v>31</v>
      </c>
      <c r="L8" s="9" t="s">
        <v>32</v>
      </c>
      <c r="N8" s="8"/>
      <c r="O8" s="10" t="s">
        <v>33</v>
      </c>
    </row>
    <row r="10" spans="1:15" ht="29" x14ac:dyDescent="0.35">
      <c r="I10" s="11">
        <f>GETPIVOTDATA("Sum of Revenue",'Pivot Analysis'!$D$13)</f>
        <v>17130500</v>
      </c>
      <c r="L10" s="20">
        <f>COUNTA(Sales_Data!A:A)-1</f>
        <v>199</v>
      </c>
      <c r="N10" s="7"/>
      <c r="O10" s="11">
        <f>I10/L10</f>
        <v>86082.91457286432</v>
      </c>
    </row>
    <row r="11" spans="1:15" x14ac:dyDescent="0.2">
      <c r="L11" s="6"/>
    </row>
    <row r="59" spans="23:23" x14ac:dyDescent="0.2">
      <c r="W59" s="19"/>
    </row>
  </sheetData>
  <pageMargins left="0.7" right="0.7" top="0.75" bottom="0.75" header="0.3" footer="0.3"/>
  <pageSetup paperSize="9" orientation="portrait" horizontalDpi="0" verticalDpi="0"/>
  <drawing r:id="rId1"/>
  <picture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Sales_Data</vt:lpstr>
      <vt:lpstr>Pivot Analysis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venkatesanvkt11</dc:creator>
  <cp:lastModifiedBy>venkatesanvkt11</cp:lastModifiedBy>
  <dcterms:created xsi:type="dcterms:W3CDTF">2026-02-09T08:26:18Z</dcterms:created>
  <dcterms:modified xsi:type="dcterms:W3CDTF">2026-02-09T15:49:36Z</dcterms:modified>
</cp:coreProperties>
</file>